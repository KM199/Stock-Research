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over" sheetId="1" state="visible" r:id="rId1"/>
    <sheet name="1_CXW_ICE_Comps" sheetId="2" state="visible" r:id="rId2"/>
    <sheet name="2_NonICE_Rerate" sheetId="3" state="visible" r:id="rId3"/>
    <sheet name="3_Bed_Buckets" sheetId="4" state="visible" r:id="rId4"/>
    <sheet name="4_Segments_Margins" sheetId="5" state="visible" r:id="rId5"/>
    <sheet name="5_Residual_EBITDA" sheetId="6" state="visible" r:id="rId6"/>
    <sheet name="6_SOTP_Revised" sheetId="7" state="visible" r:id="rId7"/>
    <sheet name="7_Balance_She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$&quot;#,##0.00"/>
    <numFmt numFmtId="166" formatCode="&quot;$&quot;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GEO RE NAV + Residual EBITDA Model (audited)</t>
        </is>
      </c>
    </row>
    <row r="2">
      <c r="A2" t="inlineStr">
        <is>
          <t>Sources: GEO 2Q26 Supplemental (as of 8/6/26); CXW DHS sales Jul–Aug 2026; CXW McRae Aug 2022; GEO Lawton Jul 2025; CXW Q2'26 guidance cut</t>
        </is>
      </c>
    </row>
    <row r="4">
      <c r="A4" s="2" t="inlineStr">
        <is>
          <t>KEY CONCLUSIONS</t>
        </is>
      </c>
    </row>
    <row r="5">
      <c r="A5" t="inlineStr">
        <is>
          <t>1) ICE owned beds @ CXW $306,915/bed.</t>
        </is>
      </c>
    </row>
    <row r="6">
      <c r="A6" t="inlineStr">
        <is>
          <t>2) Non-ICE re-rate: McRae'22 $65,723 → $79,887 (@5%/4y); Lawton'25 ~$131k → $136,306; mgmt $125k.</t>
        </is>
      </c>
    </row>
    <row r="7">
      <c r="A7" t="inlineStr">
        <is>
          <t>3) Owned Secure NOI margin 28.8% vs Managed 16.7% → ownership premium ~$5,174/bed/yr.</t>
        </is>
      </c>
    </row>
    <row r="8">
      <c r="A8" t="inlineStr">
        <is>
          <t>4) CXW lost ~$14.8M Adj EBITDA mid on 7,187 beds sold (~$2,059/bed) while keeping management.</t>
        </is>
      </c>
    </row>
    <row r="9">
      <c r="A9" t="inlineStr">
        <is>
          <t>5) Structure 1 (sell ICE only): residual ~$466M → ~$62/sh @8x.</t>
        </is>
      </c>
    </row>
    <row r="10">
      <c r="A10" t="inlineStr">
        <is>
          <t>6) Structure 2 (MTM all RE, asset-light residual ~$416M): ~$75/sh @9x — USE THIS for full re-rate; no double-count.</t>
        </is>
      </c>
    </row>
    <row r="11">
      <c r="A11" t="inlineStr">
        <is>
          <t>7) Prior $350M residual was too punitive; EM alone ~$149M ann. NOI at ~49% margin.</t>
        </is>
      </c>
    </row>
    <row r="12">
      <c r="A12" t="inlineStr">
        <is>
          <t>8) See sheet 6_SOTP_Revised for both structures; 4_Segments_Margins and 5_Residual_EBITDA for build.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2" customWidth="1" min="4" max="4"/>
    <col width="12" customWidth="1" min="5" max="5"/>
    <col width="8" customWidth="1" min="6" max="6"/>
  </cols>
  <sheetData>
    <row r="1">
      <c r="A1" s="3" t="inlineStr">
        <is>
          <t>Facility</t>
        </is>
      </c>
      <c r="B1" s="3" t="inlineStr">
        <is>
          <t>Beds</t>
        </is>
      </c>
      <c r="C1" s="3" t="inlineStr">
        <is>
          <t>Gross $</t>
        </is>
      </c>
      <c r="D1" s="3" t="inlineStr">
        <is>
          <t>$/bed</t>
        </is>
      </c>
      <c r="E1" s="3" t="inlineStr">
        <is>
          <t>Buyer</t>
        </is>
      </c>
      <c r="F1" s="3" t="inlineStr">
        <is>
          <t>Year</t>
        </is>
      </c>
    </row>
    <row r="2">
      <c r="A2" t="inlineStr">
        <is>
          <t>Otay Mesa, CA</t>
        </is>
      </c>
      <c r="B2" t="n">
        <v>1994</v>
      </c>
      <c r="C2" t="n">
        <v>739200000</v>
      </c>
      <c r="D2" t="n">
        <v>370712.1364092277</v>
      </c>
      <c r="E2" t="inlineStr">
        <is>
          <t>DHS/ICE</t>
        </is>
      </c>
      <c r="F2" t="n">
        <v>2026</v>
      </c>
    </row>
    <row r="3">
      <c r="A3" t="inlineStr">
        <is>
          <t>California City, CA</t>
        </is>
      </c>
      <c r="B3" t="n">
        <v>2560</v>
      </c>
      <c r="C3" t="n">
        <v>732600000</v>
      </c>
      <c r="D3" t="n">
        <v>286171.875</v>
      </c>
      <c r="E3" t="inlineStr">
        <is>
          <t>DHS/ICE</t>
        </is>
      </c>
      <c r="F3" t="n">
        <v>2026</v>
      </c>
    </row>
    <row r="4">
      <c r="A4" t="inlineStr">
        <is>
          <t>Prairie, MN</t>
        </is>
      </c>
      <c r="B4" t="n">
        <v>1600</v>
      </c>
      <c r="C4" t="n">
        <v>495600000</v>
      </c>
      <c r="D4" t="n">
        <v>309750</v>
      </c>
      <c r="E4" t="inlineStr">
        <is>
          <t>DHS/ICE</t>
        </is>
      </c>
      <c r="F4" t="n">
        <v>2026</v>
      </c>
    </row>
    <row r="5">
      <c r="A5" t="inlineStr">
        <is>
          <t>Midwest Regional, KS</t>
        </is>
      </c>
      <c r="B5" t="n">
        <v>1033</v>
      </c>
      <c r="C5" t="n">
        <v>238400000</v>
      </c>
      <c r="D5" t="n">
        <v>230784.123910939</v>
      </c>
      <c r="E5" t="inlineStr">
        <is>
          <t>DHS/ICE</t>
        </is>
      </c>
      <c r="F5" t="n">
        <v>2026</v>
      </c>
    </row>
    <row r="6">
      <c r="A6" t="inlineStr">
        <is>
          <t>TOTAL / AVG</t>
        </is>
      </c>
      <c r="B6" t="n">
        <v>7187</v>
      </c>
      <c r="C6" t="n">
        <v>2205800000</v>
      </c>
      <c r="D6" t="n">
        <v>306915.2636705162</v>
      </c>
    </row>
    <row r="8">
      <c r="A8" t="inlineStr">
        <is>
          <t>Net take-home assumption</t>
        </is>
      </c>
      <c r="B8" t="n">
        <v>0.72</v>
      </c>
      <c r="C8" t="inlineStr">
        <is>
          <t>CXW observed ~71-73%</t>
        </is>
      </c>
    </row>
    <row r="9">
      <c r="A9" t="inlineStr">
        <is>
          <t>CXW Adj EBITDA guide cut (mid)</t>
        </is>
      </c>
      <c r="B9" t="n">
        <v>14800000.00000001</v>
      </c>
      <c r="C9" t="inlineStr">
        <is>
          <t>Prior mid 457.8 → new mid 443.0</t>
        </is>
      </c>
    </row>
    <row r="10">
      <c r="A10" t="inlineStr">
        <is>
          <t>Implied ownership EBITDA lost $/bed/yr</t>
        </is>
      </c>
      <c r="B10" t="n">
        <v>2059.273688604426</v>
      </c>
      <c r="C10" t="inlineStr">
        <is>
          <t>Best observable residual haircut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2" customWidth="1" min="4" max="4"/>
    <col width="12" customWidth="1" min="5" max="5"/>
    <col width="28" customWidth="1" min="6" max="6"/>
    <col width="18" customWidth="1" min="7" max="7"/>
    <col width="36" customWidth="1" min="8" max="8"/>
  </cols>
  <sheetData>
    <row r="1">
      <c r="A1" s="3" t="inlineStr">
        <is>
          <t>Comp</t>
        </is>
      </c>
      <c r="B1" s="3" t="inlineStr">
        <is>
          <t>Date</t>
        </is>
      </c>
      <c r="C1" s="3" t="inlineStr">
        <is>
          <t>Beds</t>
        </is>
      </c>
      <c r="D1" s="3" t="inlineStr">
        <is>
          <t>Gross $</t>
        </is>
      </c>
      <c r="E1" s="3" t="inlineStr">
        <is>
          <t>$/bed</t>
        </is>
      </c>
      <c r="F1" s="3" t="inlineStr">
        <is>
          <t>Inflation method</t>
        </is>
      </c>
      <c r="G1" s="3" t="inlineStr">
        <is>
          <t>Inflated $/bed (Aug 2026)</t>
        </is>
      </c>
      <c r="H1" s="3" t="inlineStr">
        <is>
          <t>Use for</t>
        </is>
      </c>
    </row>
    <row r="2">
      <c r="A2" t="inlineStr">
        <is>
          <t>CXW McRae, GA (state DOC)</t>
        </is>
      </c>
      <c r="B2" t="inlineStr">
        <is>
          <t>Aug 2022</t>
        </is>
      </c>
      <c r="C2" t="n">
        <v>1978</v>
      </c>
      <c r="D2" t="n">
        <v>130000000</v>
      </c>
      <c r="E2" t="n">
        <v>65722.95247724975</v>
      </c>
      <c r="F2" t="inlineStr">
        <is>
          <t>ENR/construction ~5%/yr × 4y</t>
        </is>
      </c>
      <c r="G2" t="n">
        <v>79886.65950455007</v>
      </c>
      <c r="H2" t="inlineStr">
        <is>
          <t>Floor — BOP-exit state print</t>
        </is>
      </c>
    </row>
    <row r="3">
      <c r="A3" t="inlineStr">
        <is>
          <t>CXW McRae, GA</t>
        </is>
      </c>
      <c r="B3" t="inlineStr">
        <is>
          <t>Aug 2022</t>
        </is>
      </c>
      <c r="C3" t="n">
        <v>1978</v>
      </c>
      <c r="D3" t="n">
        <v>130000000</v>
      </c>
      <c r="E3" t="n">
        <v>65722.95247724975</v>
      </c>
      <c r="F3" t="inlineStr">
        <is>
          <t>CPI ~3.5%/yr × 4y</t>
        </is>
      </c>
      <c r="G3" t="n">
        <v>75418.5996366279</v>
      </c>
      <c r="H3" t="inlineStr">
        <is>
          <t>Sensitivity</t>
        </is>
      </c>
    </row>
    <row r="4">
      <c r="A4" t="inlineStr">
        <is>
          <t>CXW McRae, GA</t>
        </is>
      </c>
      <c r="B4" t="inlineStr">
        <is>
          <t>Aug 2022</t>
        </is>
      </c>
      <c r="C4" t="n">
        <v>1978</v>
      </c>
      <c r="D4" t="n">
        <v>130000000</v>
      </c>
      <c r="E4" t="n">
        <v>65722.95247724975</v>
      </c>
      <c r="F4" t="inlineStr">
        <is>
          <t>Construction 6%/yr × 4y</t>
        </is>
      </c>
      <c r="G4" t="n">
        <v>82973.71324570276</v>
      </c>
      <c r="H4" t="inlineStr">
        <is>
          <t>High inflation</t>
        </is>
      </c>
    </row>
    <row r="5">
      <c r="A5" t="inlineStr">
        <is>
          <t>GEO Lawton, OK (state DOC)</t>
        </is>
      </c>
      <c r="B5" t="inlineStr">
        <is>
          <t>Jul 2025</t>
        </is>
      </c>
      <c r="C5" t="n">
        <v>2388</v>
      </c>
      <c r="D5" t="n">
        <v>312000000</v>
      </c>
      <c r="E5" t="n">
        <v>130653.2663316583</v>
      </c>
      <c r="F5" t="inlineStr">
        <is>
          <t>+4% × 1.08y</t>
        </is>
      </c>
      <c r="G5" t="n">
        <v>136306.4094922097</v>
      </c>
      <c r="H5" t="inlineStr">
        <is>
          <t>Primary non-ICE anchor</t>
        </is>
      </c>
    </row>
    <row r="6">
      <c r="A6" t="inlineStr">
        <is>
          <t>GEO Lawton, OK (2,600 design cap)</t>
        </is>
      </c>
      <c r="B6" t="inlineStr">
        <is>
          <t>Jul 2025</t>
        </is>
      </c>
      <c r="C6" t="n">
        <v>2600</v>
      </c>
      <c r="D6" t="n">
        <v>312000000</v>
      </c>
      <c r="E6" t="n">
        <v>120000</v>
      </c>
      <c r="F6" t="inlineStr">
        <is>
          <t>+4% × 1.08y</t>
        </is>
      </c>
      <c r="G6" t="n">
        <v>125192.1945643834</v>
      </c>
      <c r="H6" t="inlineStr">
        <is>
          <t>If use design capacity</t>
        </is>
      </c>
    </row>
    <row r="7">
      <c r="A7" t="inlineStr">
        <is>
          <t>GEO mgmt secure replacement</t>
        </is>
      </c>
      <c r="B7" t="inlineStr">
        <is>
          <t>YE 2025</t>
        </is>
      </c>
      <c r="E7" t="n">
        <v>125000</v>
      </c>
      <c r="F7" t="inlineStr">
        <is>
          <t>as stated</t>
        </is>
      </c>
      <c r="G7" t="n">
        <v>125000</v>
      </c>
      <c r="H7" t="inlineStr">
        <is>
          <t>Company Asset Value slide</t>
        </is>
      </c>
    </row>
    <row r="8">
      <c r="A8" t="inlineStr">
        <is>
          <t>GEO mgmt reentry</t>
        </is>
      </c>
      <c r="B8" t="inlineStr">
        <is>
          <t>YE 2025</t>
        </is>
      </c>
      <c r="E8" t="n">
        <v>75000</v>
      </c>
      <c r="F8" t="inlineStr">
        <is>
          <t>+4% × 0.5y</t>
        </is>
      </c>
      <c r="G8" t="n">
        <v>76485.29270389178</v>
      </c>
      <c r="H8" t="inlineStr">
        <is>
          <t>Reentry owned</t>
        </is>
      </c>
    </row>
    <row r="9">
      <c r="A9" t="inlineStr">
        <is>
          <t>Public new-build comps (March deck)</t>
        </is>
      </c>
      <c r="B9" t="inlineStr">
        <is>
          <t>2024-25</t>
        </is>
      </c>
      <c r="E9" t="n">
        <v>233000</v>
      </c>
      <c r="F9" t="inlineStr">
        <is>
          <t>low end Nebraska</t>
        </is>
      </c>
      <c r="G9" t="n">
        <v>233000</v>
      </c>
      <c r="H9" t="inlineStr">
        <is>
          <t>Replacement-cost ceiling context</t>
        </is>
      </c>
    </row>
    <row r="10">
      <c r="A10" t="inlineStr">
        <is>
          <t>Public new-build comps (March deck)</t>
        </is>
      </c>
      <c r="B10" t="inlineStr">
        <is>
          <t>2024-25</t>
        </is>
      </c>
      <c r="E10" t="n">
        <v>440000</v>
      </c>
      <c r="F10" t="inlineStr">
        <is>
          <t>high end Fulton</t>
        </is>
      </c>
      <c r="G10" t="n">
        <v>440000</v>
      </c>
      <c r="H10" t="inlineStr">
        <is>
          <t>Ceiling</t>
        </is>
      </c>
    </row>
    <row r="12">
      <c r="A12" t="inlineStr">
        <is>
          <t>MODEL ASSUMPTIONS (editable logic encoded in 5_SOTP)</t>
        </is>
      </c>
    </row>
    <row r="13">
      <c r="A13" t="inlineStr">
        <is>
          <t>ICE owned beds</t>
        </is>
      </c>
      <c r="B13" t="inlineStr">
        <is>
          <t>CXW 2026 ICE print</t>
        </is>
      </c>
      <c r="C13" t="n">
        <v>306915.2636705162</v>
      </c>
    </row>
    <row r="14">
      <c r="A14" t="inlineStr">
        <is>
          <t>Non-ICE owned secure (USMS/state/idle) — BASE</t>
        </is>
      </c>
      <c r="B14" t="inlineStr">
        <is>
          <t>Lawton inflated</t>
        </is>
      </c>
      <c r="C14" t="n">
        <v>136306.4094922097</v>
      </c>
    </row>
    <row r="15">
      <c r="A15" t="inlineStr">
        <is>
          <t>Non-ICE — BULL</t>
        </is>
      </c>
      <c r="B15" t="inlineStr">
        <is>
          <t>Mgmt $125k</t>
        </is>
      </c>
      <c r="C15" t="n">
        <v>125000</v>
      </c>
    </row>
    <row r="16">
      <c r="A16" t="inlineStr">
        <is>
          <t>Non-ICE — BEAR</t>
        </is>
      </c>
      <c r="B16" t="inlineStr">
        <is>
          <t>McRae +5%/4y</t>
        </is>
      </c>
      <c r="C16" t="n">
        <v>79886.65950455007</v>
      </c>
    </row>
    <row r="17">
      <c r="A17" t="inlineStr">
        <is>
          <t>Reentry owned</t>
        </is>
      </c>
      <c r="B17" t="inlineStr">
        <is>
          <t>Mgmt $75k inflated</t>
        </is>
      </c>
      <c r="C17" t="n">
        <v>76485.29270389178</v>
      </c>
    </row>
    <row r="19">
      <c r="A19" t="inlineStr">
        <is>
          <t>NOTE</t>
        </is>
      </c>
      <c r="B19" t="inlineStr">
        <is>
          <t>McRae was a BOP-contract-expiry state purchase — structurally weaker than ICE replacement-cost buys. Lawton 2025 is the cleaner non-ICE print; inflating McRae alone understates current state/USMS values.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6" customWidth="1" min="4" max="4"/>
    <col width="50" customWidth="1" min="5" max="5"/>
  </cols>
  <sheetData>
    <row r="1">
      <c r="A1" s="3" t="inlineStr">
        <is>
          <t>Bucket</t>
        </is>
      </c>
      <c r="B1" s="3" t="inlineStr">
        <is>
          <t>Beds</t>
        </is>
      </c>
      <c r="C1" s="3" t="inlineStr">
        <is>
          <t>$/bed basis</t>
        </is>
      </c>
      <c r="D1" s="3" t="inlineStr">
        <is>
          <t>Gross RE $</t>
        </is>
      </c>
      <c r="E1" s="3" t="inlineStr">
        <is>
          <t>Notes</t>
        </is>
      </c>
    </row>
    <row r="2">
      <c r="A2" t="inlineStr">
        <is>
          <t>Owned ICE primary</t>
        </is>
      </c>
      <c r="B2" t="n">
        <v>25479</v>
      </c>
      <c r="C2" t="n">
        <v>306915.2636705162</v>
      </c>
      <c r="D2" t="n">
        <v>7819894003.061082</v>
      </c>
      <c r="E2" t="inlineStr">
        <is>
          <t>21 facilities from 2Q26 list</t>
        </is>
      </c>
    </row>
    <row r="3">
      <c r="A3" t="inlineStr">
        <is>
          <t>Joe Corley dual USMS/ICE</t>
        </is>
      </c>
      <c r="B3" t="n">
        <v>1517</v>
      </c>
      <c r="C3" t="n">
        <v>306915.2636705162</v>
      </c>
      <c r="D3" t="n">
        <v>465590454.9881731</v>
      </c>
      <c r="E3" t="inlineStr">
        <is>
          <t>Include in ICE+dual case</t>
        </is>
      </c>
    </row>
    <row r="4">
      <c r="A4" t="inlineStr">
        <is>
          <t>Owned USMS</t>
        </is>
      </c>
      <c r="B4" t="n">
        <v>8591</v>
      </c>
      <c r="C4" t="n">
        <v>136306.4094922097</v>
      </c>
      <c r="D4" t="n">
        <v>1171008363.947574</v>
      </c>
      <c r="E4" t="inlineStr">
        <is>
          <t>Re-rated non-ICE</t>
        </is>
      </c>
    </row>
    <row r="5">
      <c r="A5" t="inlineStr">
        <is>
          <t>Owned state (Riverbend)</t>
        </is>
      </c>
      <c r="B5" t="n">
        <v>1500</v>
      </c>
      <c r="C5" t="n">
        <v>136306.4094922097</v>
      </c>
      <c r="D5" t="n">
        <v>204459614.2383146</v>
      </c>
      <c r="E5" t="inlineStr">
        <is>
          <t>Re-rated non-ICE</t>
        </is>
      </c>
    </row>
    <row r="6">
      <c r="A6" t="inlineStr">
        <is>
          <t>Owned idle secure</t>
        </is>
      </c>
      <c r="B6" t="n">
        <v>4576</v>
      </c>
      <c r="C6" t="n">
        <v>136306.4094922097</v>
      </c>
      <c r="D6" t="n">
        <v>623738129.8363518</v>
      </c>
      <c r="E6" t="inlineStr">
        <is>
          <t>Could be ICE-capable upside — valued at non-ICE base; ICE print is upside</t>
        </is>
      </c>
    </row>
    <row r="7">
      <c r="A7" t="inlineStr">
        <is>
          <t>Reentry / other owned plug</t>
        </is>
      </c>
      <c r="B7" t="n">
        <v>5413</v>
      </c>
      <c r="C7" t="n">
        <v>76485.29270389178</v>
      </c>
      <c r="D7" t="n">
        <v>414014889.4061663</v>
      </c>
      <c r="E7" t="inlineStr">
        <is>
          <t>50440 − secure − leased-out</t>
        </is>
      </c>
    </row>
    <row r="8">
      <c r="A8" t="inlineStr">
        <is>
          <t>Leased-out owned (Great Plains etc.)</t>
        </is>
      </c>
      <c r="B8" t="n">
        <v>3364</v>
      </c>
      <c r="C8" t="n">
        <v>115860.4480683783</v>
      </c>
      <c r="D8" t="n">
        <v>389754547.3020245</v>
      </c>
      <c r="E8" t="inlineStr">
        <is>
          <t>Fee/lease income; haircut</t>
        </is>
      </c>
    </row>
    <row r="9">
      <c r="A9" t="inlineStr">
        <is>
          <t>TOTAL company owned check</t>
        </is>
      </c>
      <c r="B9" t="n">
        <v>50440</v>
      </c>
      <c r="E9" t="inlineStr">
        <is>
          <t>50,440 from supplemental</t>
        </is>
      </c>
    </row>
    <row r="11">
      <c r="A11" t="inlineStr">
        <is>
          <t>If sell ICE+dual only — remaining owned secure</t>
        </is>
      </c>
      <c r="B11" t="n">
        <v>14667</v>
      </c>
      <c r="C11" t="n">
        <v>136306.4094922097</v>
      </c>
      <c r="D11" t="n">
        <v>1999206108.02224</v>
      </c>
    </row>
    <row r="12">
      <c r="A12" t="inlineStr">
        <is>
          <t>Idle @ CXW upside (not in base)</t>
        </is>
      </c>
      <c r="B12" t="n">
        <v>4576</v>
      </c>
      <c r="C12" t="n">
        <v>306915.2636705162</v>
      </c>
      <c r="D12" t="n">
        <v>1404444246.556282</v>
      </c>
      <c r="E12" t="inlineStr">
        <is>
          <t>If ICE fills idle at CXW prints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12" customWidth="1" min="10" max="10"/>
  </cols>
  <sheetData>
    <row r="1">
      <c r="A1" s="3" t="inlineStr">
        <is>
          <t>Segment</t>
        </is>
      </c>
      <c r="B1" s="3" t="inlineStr">
        <is>
          <t>Q2 Rev $000</t>
        </is>
      </c>
      <c r="C1" s="3" t="inlineStr">
        <is>
          <t>Q2 NOI $000</t>
        </is>
      </c>
      <c r="D1" s="3" t="inlineStr">
        <is>
          <t>NOI margin</t>
        </is>
      </c>
      <c r="E1" s="3" t="inlineStr">
        <is>
          <t>Ann Rev $M</t>
        </is>
      </c>
      <c r="F1" s="3" t="inlineStr">
        <is>
          <t>Ann NOI $M</t>
        </is>
      </c>
      <c r="G1" s="3" t="inlineStr">
        <is>
          <t>RP beds</t>
        </is>
      </c>
      <c r="H1" s="3" t="inlineStr">
        <is>
          <t>Rev $/bed/yr</t>
        </is>
      </c>
      <c r="I1" s="3" t="inlineStr">
        <is>
          <t>NOI $/bed/yr</t>
        </is>
      </c>
      <c r="J1" s="3" t="inlineStr">
        <is>
          <t>% of Q2 NOI</t>
        </is>
      </c>
    </row>
    <row r="2">
      <c r="A2" t="inlineStr">
        <is>
          <t>Owned Secure</t>
        </is>
      </c>
      <c r="B2" t="n">
        <v>390858</v>
      </c>
      <c r="C2" t="n">
        <v>112735</v>
      </c>
      <c r="D2" t="n">
        <v>0.28842955753752</v>
      </c>
      <c r="E2" t="n">
        <v>1563.432</v>
      </c>
      <c r="F2" t="n">
        <v>450.94</v>
      </c>
      <c r="G2" t="n">
        <v>36595</v>
      </c>
      <c r="H2" t="n">
        <v>42722.55772646536</v>
      </c>
      <c r="I2" t="n">
        <v>12322.44842191556</v>
      </c>
      <c r="J2" t="n">
        <v>0.5485300843705296</v>
      </c>
    </row>
    <row r="3">
      <c r="A3" t="inlineStr">
        <is>
          <t>Owned Reentry</t>
        </is>
      </c>
      <c r="B3" t="n">
        <v>42652</v>
      </c>
      <c r="C3" t="n">
        <v>14577</v>
      </c>
      <c r="D3" t="n">
        <v>0.3417659195348401</v>
      </c>
      <c r="E3" t="n">
        <v>170.608</v>
      </c>
      <c r="F3" t="n">
        <v>58.308</v>
      </c>
      <c r="G3" t="n">
        <v>5497</v>
      </c>
      <c r="H3" t="n">
        <v>31036.56539930871</v>
      </c>
      <c r="I3" t="n">
        <v>10607.24031289794</v>
      </c>
      <c r="J3" t="n">
        <v>0.07092671344186997</v>
      </c>
    </row>
    <row r="4">
      <c r="A4" t="inlineStr">
        <is>
          <t>Managed Only</t>
        </is>
      </c>
      <c r="B4" t="n">
        <v>192366</v>
      </c>
      <c r="C4" t="n">
        <v>32187</v>
      </c>
      <c r="D4" t="n">
        <v>0.1673216680702411</v>
      </c>
      <c r="E4" t="n">
        <v>769.4640000000001</v>
      </c>
      <c r="F4" t="n">
        <v>128.748</v>
      </c>
      <c r="G4" t="n">
        <v>22652</v>
      </c>
      <c r="H4" t="n">
        <v>33968.92106657249</v>
      </c>
      <c r="I4" t="n">
        <v>5683.736535405263</v>
      </c>
      <c r="J4" t="n">
        <v>0.1566109710882533</v>
      </c>
    </row>
    <row r="5">
      <c r="A5" t="inlineStr">
        <is>
          <t>EM</t>
        </is>
      </c>
      <c r="B5" t="n">
        <v>76160</v>
      </c>
      <c r="C5" t="n">
        <v>37126</v>
      </c>
      <c r="D5" t="n">
        <v>0.4874737394957983</v>
      </c>
      <c r="E5" t="n">
        <v>304.64</v>
      </c>
      <c r="F5" t="n">
        <v>148.504</v>
      </c>
      <c r="J5" t="n">
        <v>0.1806424616342776</v>
      </c>
    </row>
    <row r="6">
      <c r="A6" t="inlineStr">
        <is>
          <t>NonRes</t>
        </is>
      </c>
      <c r="B6" t="n">
        <v>30036</v>
      </c>
      <c r="C6" t="n">
        <v>8897</v>
      </c>
      <c r="D6" t="n">
        <v>0.2962112132108137</v>
      </c>
      <c r="E6" t="n">
        <v>120.144</v>
      </c>
      <c r="F6" t="n">
        <v>35.588</v>
      </c>
      <c r="J6" t="n">
        <v>0.04328976946506943</v>
      </c>
    </row>
    <row r="7">
      <c r="A7" t="inlineStr">
        <is>
          <t>TOTAL</t>
        </is>
      </c>
      <c r="B7" t="n">
        <v>732072</v>
      </c>
      <c r="C7" t="n">
        <v>205522</v>
      </c>
      <c r="D7" t="n">
        <v>0.2807401457780109</v>
      </c>
      <c r="F7" t="n">
        <v>822.088</v>
      </c>
      <c r="J7" t="n">
        <v>1</v>
      </c>
    </row>
    <row r="9">
      <c r="A9" t="inlineStr">
        <is>
          <t>Bridge to Adj EBITDA (Q2)</t>
        </is>
      </c>
    </row>
    <row r="10">
      <c r="A10" t="inlineStr">
        <is>
          <t>NOI</t>
        </is>
      </c>
      <c r="B10" t="n">
        <v>205522</v>
      </c>
    </row>
    <row r="11">
      <c r="A11" t="inlineStr">
        <is>
          <t>− G&amp;A</t>
        </is>
      </c>
      <c r="B11" t="n">
        <v>-65470</v>
      </c>
    </row>
    <row r="12">
      <c r="A12" t="inlineStr">
        <is>
          <t>≈ NOI − G&amp;A</t>
        </is>
      </c>
      <c r="B12" t="n">
        <v>140052</v>
      </c>
    </row>
    <row r="13">
      <c r="A13" t="inlineStr">
        <is>
          <t>Adj EBITDA</t>
        </is>
      </c>
      <c r="B13" t="n">
        <v>141999</v>
      </c>
    </row>
    <row r="14">
      <c r="A14" t="inlineStr">
        <is>
          <t>Addbacks (SBC, etc.)</t>
        </is>
      </c>
      <c r="B14" t="n">
        <v>1947</v>
      </c>
    </row>
    <row r="16">
      <c r="A16" t="inlineStr">
        <is>
          <t>Owned vs Managed gap</t>
        </is>
      </c>
      <c r="B16" t="n">
        <v>0.1211078894672789</v>
      </c>
      <c r="C16" t="inlineStr">
        <is>
          <t>pts of revenue</t>
        </is>
      </c>
    </row>
    <row r="17">
      <c r="A17" t="inlineStr">
        <is>
          <t>Ownership premium $/owned-secure-bed/yr</t>
        </is>
      </c>
      <c r="B17" t="n">
        <v>5174.03879889621</v>
      </c>
    </row>
    <row r="18">
      <c r="A18" t="inlineStr">
        <is>
          <t>CXW observed ownership EBITDA loss $/bed/yr</t>
        </is>
      </c>
      <c r="B18" t="n">
        <v>2059.273688604426</v>
      </c>
    </row>
    <row r="19">
      <c r="A19" t="inlineStr">
        <is>
          <t>GEO gap / CXW observed</t>
        </is>
      </c>
      <c r="B19" t="n">
        <v>2.512555192409935</v>
      </c>
      <c r="C19" t="inlineStr">
        <is>
          <t>x — GEO gap is harsher; CXW kept more economics</t>
        </is>
      </c>
    </row>
    <row r="21">
      <c r="A21" t="inlineStr">
        <is>
          <t>YTD margins (check)</t>
        </is>
      </c>
    </row>
    <row r="22">
      <c r="A22" t="inlineStr">
        <is>
          <t>Owned Secure YTD</t>
        </is>
      </c>
      <c r="B22" t="n">
        <v>0.2782015097843836</v>
      </c>
    </row>
    <row r="23">
      <c r="A23" t="inlineStr">
        <is>
          <t>Managed Only YTD</t>
        </is>
      </c>
      <c r="B23" t="n">
        <v>0.1701737749981355</v>
      </c>
    </row>
    <row r="24">
      <c r="A24" t="inlineStr">
        <is>
          <t>EM YTD</t>
        </is>
      </c>
      <c r="B24" t="n">
        <v>0.4617297412302864</v>
      </c>
    </row>
    <row r="25">
      <c r="A25" t="inlineStr">
        <is>
          <t>FY26 Adj EBITDA guide mid</t>
        </is>
      </c>
      <c r="B25" t="n">
        <v>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4" customWidth="1" min="3" max="3"/>
    <col width="14" customWidth="1" min="4" max="4"/>
    <col width="16" customWidth="1" min="5" max="5"/>
    <col width="55" customWidth="1" min="6" max="6"/>
  </cols>
  <sheetData>
    <row r="1">
      <c r="A1" s="3" t="inlineStr">
        <is>
          <t>Method</t>
        </is>
      </c>
      <c r="B1" s="3" t="inlineStr">
        <is>
          <t>ICE beds sold</t>
        </is>
      </c>
      <c r="C1" s="3" t="inlineStr">
        <is>
          <t>Cut $/bed/yr</t>
        </is>
      </c>
      <c r="D1" s="3" t="inlineStr">
        <is>
          <t>EBITDA cut $M</t>
        </is>
      </c>
      <c r="E1" s="3" t="inlineStr">
        <is>
          <t>Residual Adj EBITDA $M</t>
        </is>
      </c>
      <c r="F1" s="3" t="inlineStr">
        <is>
          <t>Logic</t>
        </is>
      </c>
    </row>
    <row r="2">
      <c r="A2" t="inlineStr">
        <is>
          <t>A. CXW guide-cut proxy (optimistic)</t>
        </is>
      </c>
      <c r="B2" t="n">
        <v>26996</v>
      </c>
      <c r="C2" t="n">
        <v>2059.273688604426</v>
      </c>
      <c r="D2" t="n">
        <v>55.59215249756509</v>
      </c>
      <c r="E2" t="n">
        <v>499.4078475024349</v>
      </c>
      <c r="F2" t="inlineStr">
        <is>
          <t>Scale CXW mid-point guide cut; contracts mostly preserved</t>
        </is>
      </c>
    </row>
    <row r="3">
      <c r="A3" t="inlineStr">
        <is>
          <t>B. Blend 60% CXW / 40% GEO gap (BASE)</t>
        </is>
      </c>
      <c r="B3" t="n">
        <v>26996</v>
      </c>
      <c r="C3" t="n">
        <v>3305.17973272114</v>
      </c>
      <c r="D3" t="n">
        <v>89.2266320645399</v>
      </c>
      <c r="E3" t="n">
        <v>465.7733679354601</v>
      </c>
      <c r="F3" t="inlineStr">
        <is>
          <t>Partial contract reset — base case</t>
        </is>
      </c>
    </row>
    <row r="4">
      <c r="A4" t="inlineStr">
        <is>
          <t>C. GEO owned→managed full gap (conservative)</t>
        </is>
      </c>
      <c r="B4" t="n">
        <v>26996</v>
      </c>
      <c r="C4" t="n">
        <v>5174.03879889621</v>
      </c>
      <c r="D4" t="n">
        <v>139.6783514150021</v>
      </c>
      <c r="E4" t="n">
        <v>415.3216485849979</v>
      </c>
      <c r="F4" t="inlineStr">
        <is>
          <t>Same rev, margin collapses to managed-only</t>
        </is>
      </c>
    </row>
    <row r="5">
      <c r="A5" t="inlineStr">
        <is>
          <t>D. CXW proxy on ICE primary only</t>
        </is>
      </c>
      <c r="B5" t="n">
        <v>25479</v>
      </c>
      <c r="C5" t="n">
        <v>2059.273688604426</v>
      </c>
      <c r="D5" t="n">
        <v>52.46823431195218</v>
      </c>
      <c r="E5" t="n">
        <v>502.5317656880478</v>
      </c>
    </row>
    <row r="6">
      <c r="A6" t="inlineStr">
        <is>
          <t>E. Blend on ICE primary only</t>
        </is>
      </c>
      <c r="B6" t="n">
        <v>25479</v>
      </c>
      <c r="C6" t="n">
        <v>3305.17973272114</v>
      </c>
      <c r="D6" t="n">
        <v>84.21267441000192</v>
      </c>
      <c r="E6" t="n">
        <v>470.7873255899981</v>
      </c>
    </row>
    <row r="7">
      <c r="A7" t="inlineStr">
        <is>
          <t>F. Prior model placeholder</t>
        </is>
      </c>
      <c r="B7" t="n">
        <v>26996</v>
      </c>
      <c r="C7" t="n">
        <v>7593.717587790784</v>
      </c>
      <c r="D7" t="n">
        <v>205</v>
      </c>
      <c r="E7" t="n">
        <v>350</v>
      </c>
      <c r="F7" t="inlineStr">
        <is>
          <t>OLD $350M — too punitive vs segment math</t>
        </is>
      </c>
    </row>
    <row r="9">
      <c r="A9" t="inlineStr">
        <is>
          <t>SEGMENT BUILD (cross-check) — annualized from Q2, then ownership conversion</t>
        </is>
      </c>
    </row>
    <row r="10">
      <c r="A10" t="inlineStr">
        <is>
          <t>Keep EM NOI</t>
        </is>
      </c>
      <c r="B10" t="n">
        <v>148.504</v>
      </c>
      <c r="C10" t="inlineStr">
        <is>
          <t>Unaffected by RE sale</t>
        </is>
      </c>
    </row>
    <row r="11">
      <c r="A11" t="inlineStr">
        <is>
          <t>Keep NonRes NOI</t>
        </is>
      </c>
      <c r="B11" t="n">
        <v>35.588</v>
      </c>
    </row>
    <row r="12">
      <c r="A12" t="inlineStr">
        <is>
          <t>Keep Owned Reentry NOI</t>
        </is>
      </c>
      <c r="B12" t="n">
        <v>58.308</v>
      </c>
      <c r="C12" t="inlineStr">
        <is>
          <t>Assumes keep reentry RE too</t>
        </is>
      </c>
    </row>
    <row r="13">
      <c r="A13" t="inlineStr">
        <is>
          <t>Keep Managed Only NOI</t>
        </is>
      </c>
      <c r="B13" t="n">
        <v>128.748</v>
      </c>
      <c r="C13" t="inlineStr">
        <is>
          <t>Already asset-light</t>
        </is>
      </c>
    </row>
    <row r="14">
      <c r="A14" t="inlineStr">
        <is>
          <t>Post-sale ICE management NOI (managed margin × ICE bed rev)</t>
        </is>
      </c>
      <c r="B14" t="n">
        <v>192.9784661830304</v>
      </c>
      <c r="C14" t="inlineStr">
        <is>
          <t>26996 beds × $42,723 × 16.7%</t>
        </is>
      </c>
    </row>
    <row r="15">
      <c r="A15" t="inlineStr">
        <is>
          <t>Remaining owned secure NOI (USMS/state etc.)</t>
        </is>
      </c>
      <c r="B15" t="n">
        <v>118.2831824019675</v>
      </c>
      <c r="C15" t="inlineStr">
        <is>
          <t>~9599 RP beds still owned</t>
        </is>
      </c>
    </row>
    <row r="16">
      <c r="A16">
        <f> Total NOI post full ICE+dual sale</f>
        <v/>
      </c>
      <c r="B16" t="n">
        <v>682.4096485849979</v>
      </c>
    </row>
    <row r="17">
      <c r="A17" t="inlineStr">
        <is>
          <t>− G&amp;A (Q2×4)</t>
        </is>
      </c>
      <c r="B17" t="n">
        <v>-261.88</v>
      </c>
      <c r="C17" t="inlineStr">
        <is>
          <t>Assume G&amp;A not cut with RE sale</t>
        </is>
      </c>
    </row>
    <row r="18">
      <c r="A18" t="inlineStr">
        <is>
          <t>+ SBC/other addbacks (Q2×4)</t>
        </is>
      </c>
      <c r="B18" t="n">
        <v>7.788</v>
      </c>
    </row>
    <row r="19">
      <c r="A19">
        <f> Implied Adj EBITDA (segment build)</f>
        <v/>
      </c>
      <c r="B19" t="n">
        <v>428.3176485849979</v>
      </c>
    </row>
    <row r="20">
      <c r="A20" t="inlineStr">
        <is>
          <t>vs FY26 guide starting point</t>
        </is>
      </c>
      <c r="B20" t="n">
        <v>555</v>
      </c>
    </row>
    <row r="21">
      <c r="A21" t="inlineStr">
        <is>
          <t>Segment build vs blend residual</t>
        </is>
      </c>
      <c r="B21" t="n">
        <v>428.3176485849979</v>
      </c>
      <c r="C21" t="n">
        <v>465.7733679354601</v>
      </c>
    </row>
    <row r="23">
      <c r="A23" t="inlineStr">
        <is>
          <t>BASE RESIDUAL USED IN SOTP</t>
        </is>
      </c>
      <c r="B23" t="n">
        <v>465.7733679354601</v>
      </c>
      <c r="C23" t="inlineStr">
        <is>
          <t>Method B</t>
        </is>
      </c>
    </row>
    <row r="38">
      <c r="A38" s="4" t="n"/>
      <c r="B38" s="4" t="n"/>
    </row>
    <row r="40">
      <c r="A40" s="2" t="inlineStr">
        <is>
          <t>CORRECTION — use Structure-specific residuals in 6_SOTP_Revised</t>
        </is>
      </c>
    </row>
    <row r="41">
      <c r="A41" t="inlineStr">
        <is>
          <t>Structure 1 (ICE sale only) BASE residual</t>
        </is>
      </c>
      <c r="B41" t="n">
        <v>465.7733679354602</v>
      </c>
    </row>
    <row r="42">
      <c r="A42" t="inlineStr">
        <is>
          <t>Structure 2 (all RE MTM) asset-light hybrid residual</t>
        </is>
      </c>
      <c r="B42" t="n">
        <v>416.1077695048555</v>
      </c>
    </row>
    <row r="43">
      <c r="A43" s="5" t="inlineStr">
        <is>
          <t>Do NOT add non-ICE RE proceeds on top of Structure-1 residual (double-counts owned NOI).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6" t="inlineStr">
        <is>
          <t>SOTP — corrected for double-counting</t>
        </is>
      </c>
    </row>
    <row r="2">
      <c r="A2" s="7" t="inlineStr">
        <is>
          <t>CRITICAL: If you mark non-ICE RE as sold/MTM proceeds, you MUST strip ownership economics from residual EBITDA. Prior draft double-counted.</t>
        </is>
      </c>
    </row>
    <row r="4">
      <c r="A4" s="2" t="inlineStr">
        <is>
          <t>STRUCTURE 1 — Sell ICE RE only (thesis / near-term). Other owned RE stays inside residual EBITDA.</t>
        </is>
      </c>
    </row>
    <row r="5">
      <c r="A5" s="8" t="inlineStr">
        <is>
          <t>Component</t>
        </is>
      </c>
      <c r="B5" s="8" t="inlineStr">
        <is>
          <t>Value</t>
        </is>
      </c>
      <c r="C5" s="8" t="inlineStr">
        <is>
          <t>Notes</t>
        </is>
      </c>
    </row>
    <row r="6">
      <c r="A6" t="inlineStr">
        <is>
          <t>ICE+dual beds × CXW $/bed gross</t>
        </is>
      </c>
      <c r="B6" s="9" t="n">
        <v>8285.484458049255</v>
      </c>
      <c r="C6" t="inlineStr">
        <is>
          <t>26996 × $306,915</t>
        </is>
      </c>
    </row>
    <row r="7">
      <c r="A7" t="inlineStr">
        <is>
          <t>Net @ 72%</t>
        </is>
      </c>
      <c r="B7" s="9" t="n">
        <v>5965.548809795464</v>
      </c>
      <c r="C7" t="inlineStr"/>
    </row>
    <row r="8">
      <c r="A8" t="inlineStr">
        <is>
          <t>− Net debt</t>
        </is>
      </c>
      <c r="B8" s="9" t="n">
        <v>-1487.326</v>
      </c>
      <c r="C8" t="inlineStr"/>
    </row>
    <row r="9">
      <c r="A9" t="inlineStr">
        <is>
          <t>Cash after debt</t>
        </is>
      </c>
      <c r="B9" s="9" t="n">
        <v>4478.222809795464</v>
      </c>
      <c r="C9" t="inlineStr"/>
    </row>
    <row r="10">
      <c r="A10" t="inlineStr">
        <is>
          <t>Residual EBITDA (blend ownership cut)</t>
        </is>
      </c>
      <c r="B10" s="9" t="n">
        <v>465.7733679354602</v>
      </c>
      <c r="C10" t="inlineStr">
        <is>
          <t>FY26 $555M − 26996 × $3,305</t>
        </is>
      </c>
    </row>
    <row r="11">
      <c r="A11" t="inlineStr">
        <is>
          <t>× Multiple</t>
        </is>
      </c>
      <c r="B11" t="n">
        <v>8</v>
      </c>
      <c r="C11" t="inlineStr">
        <is>
          <t>Still has owned USMS/state RE; keep 8x not 9x</t>
        </is>
      </c>
    </row>
    <row r="12">
      <c r="A12" t="inlineStr">
        <is>
          <t>Ops EV</t>
        </is>
      </c>
      <c r="B12" s="9" t="n">
        <v>3726.186943483681</v>
      </c>
      <c r="C12" t="inlineStr"/>
    </row>
    <row r="13">
      <c r="A13" t="inlineStr">
        <is>
          <t>SOTP equity $M</t>
        </is>
      </c>
      <c r="B13" s="9" t="n">
        <v>8204.409753279144</v>
      </c>
      <c r="C13" t="inlineStr"/>
    </row>
    <row r="14">
      <c r="A14" t="inlineStr">
        <is>
          <t>SOTP $/sh BASE Structure 1</t>
        </is>
      </c>
      <c r="B14" s="10" t="n">
        <v>62.02073875533988</v>
      </c>
      <c r="C14" t="inlineStr"/>
    </row>
    <row r="16">
      <c r="A16" t="inlineStr">
        <is>
          <t>Structure 1 sensitivities</t>
        </is>
      </c>
    </row>
    <row r="17">
      <c r="A17" s="8" t="inlineStr">
        <is>
          <t>Case</t>
        </is>
      </c>
      <c r="B17" s="8" t="inlineStr">
        <is>
          <t>Resid $M</t>
        </is>
      </c>
      <c r="C17" s="8" t="inlineStr">
        <is>
          <t>Mult</t>
        </is>
      </c>
      <c r="D17" s="8" t="inlineStr">
        <is>
          <t>$/sh</t>
        </is>
      </c>
    </row>
    <row r="18">
      <c r="A18" t="inlineStr">
        <is>
          <t>Bear: full GEO gap @8x</t>
        </is>
      </c>
      <c r="B18" t="n">
        <v>415.3216485849979</v>
      </c>
      <c r="C18" t="n">
        <v>8</v>
      </c>
      <c r="D18" s="11" t="n">
        <v>58.96964501459431</v>
      </c>
    </row>
    <row r="19">
      <c r="A19" t="inlineStr">
        <is>
          <t>Base: blend @8x</t>
        </is>
      </c>
      <c r="B19" t="n">
        <v>465.7733679354602</v>
      </c>
      <c r="C19" t="n">
        <v>8</v>
      </c>
      <c r="D19" s="11" t="n">
        <v>62.02073875533988</v>
      </c>
    </row>
    <row r="20">
      <c r="A20" t="inlineStr">
        <is>
          <t>Bull: CXW cut @9x</t>
        </is>
      </c>
      <c r="B20" t="n">
        <v>499.4078475024349</v>
      </c>
      <c r="C20" t="n">
        <v>9</v>
      </c>
      <c r="D20" s="11" t="n">
        <v>67.8300446333681</v>
      </c>
    </row>
    <row r="21">
      <c r="A21" t="inlineStr">
        <is>
          <t>OLD placeholder $350M @8x</t>
        </is>
      </c>
      <c r="B21" t="n">
        <v>350</v>
      </c>
      <c r="C21" t="n">
        <v>8</v>
      </c>
      <c r="D21" s="11" t="n">
        <v>55.01928463641935</v>
      </c>
    </row>
    <row r="23">
      <c r="A23" s="2" t="inlineStr">
        <is>
          <t>STRUCTURE 2 — Mark ALL owned RE to market (ICE @ CXW, rest @ inflated non-ICE). Residual = asset-light only.</t>
        </is>
      </c>
    </row>
    <row r="24">
      <c r="A24" s="8" t="inlineStr">
        <is>
          <t>Component</t>
        </is>
      </c>
      <c r="B24" s="8" t="inlineStr">
        <is>
          <t>Beds</t>
        </is>
      </c>
      <c r="C24" s="8" t="inlineStr">
        <is>
          <t>$/bed</t>
        </is>
      </c>
      <c r="D24" s="8" t="inlineStr">
        <is>
          <t>Net @72% $M</t>
        </is>
      </c>
      <c r="E24" s="8" t="inlineStr">
        <is>
          <t>Notes</t>
        </is>
      </c>
    </row>
    <row r="25">
      <c r="A25" t="inlineStr">
        <is>
          <t>ICE+dual @ CXW</t>
        </is>
      </c>
      <c r="B25" t="n">
        <v>26996</v>
      </c>
      <c r="C25" s="12" t="n">
        <v>306915.2636705162</v>
      </c>
      <c r="D25" s="9" t="n">
        <v>5965.548809795464</v>
      </c>
      <c r="E25" t="inlineStr">
        <is>
          <t>2026 ICE print</t>
        </is>
      </c>
    </row>
    <row r="26">
      <c r="A26" t="inlineStr">
        <is>
          <t>Other secure @ Lawton-inflated</t>
        </is>
      </c>
      <c r="B26" t="n">
        <v>14667</v>
      </c>
      <c r="C26" s="12" t="n">
        <v>136306.1316368365</v>
      </c>
      <c r="D26" s="9" t="n">
        <v>1439.425463556586</v>
      </c>
      <c r="E26" t="inlineStr">
        <is>
          <t>USMS+state+idle</t>
        </is>
      </c>
    </row>
    <row r="27">
      <c r="A27" t="inlineStr">
        <is>
          <t>Reentry @ $75k inflated</t>
        </is>
      </c>
      <c r="B27" t="n">
        <v>5413</v>
      </c>
      <c r="C27" s="12" t="n">
        <v>76485.29270389178</v>
      </c>
      <c r="D27" s="9" t="n">
        <v>298.0907203724397</v>
      </c>
      <c r="E27" t="inlineStr"/>
    </row>
    <row r="28">
      <c r="A28" t="inlineStr">
        <is>
          <t>Total net RE</t>
        </is>
      </c>
      <c r="D28" t="n">
        <v>7703.064993724491</v>
      </c>
    </row>
    <row r="29">
      <c r="A29" t="inlineStr">
        <is>
          <t>− Net debt</t>
        </is>
      </c>
      <c r="D29" t="n">
        <v>-1487.326</v>
      </c>
    </row>
    <row r="30">
      <c r="A30" t="inlineStr">
        <is>
          <t>Cash after debt</t>
        </is>
      </c>
      <c r="D30" t="n">
        <v>6215.738993724491</v>
      </c>
    </row>
    <row r="31">
      <c r="A31" t="inlineStr">
        <is>
          <t>Asset-light residual EBITDA (hybrid)</t>
        </is>
      </c>
      <c r="D31" t="n">
        <v>416.1077695048555</v>
      </c>
      <c r="E31" t="inlineStr">
        <is>
          <t>FY26 − blend cut on ICE − full gap on other owned RP</t>
        </is>
      </c>
    </row>
    <row r="32">
      <c r="A32" t="inlineStr">
        <is>
          <t>× Multiple</t>
        </is>
      </c>
      <c r="D32" t="n">
        <v>9</v>
      </c>
      <c r="E32" t="inlineStr">
        <is>
          <t>More asset-light → higher multiple OK</t>
        </is>
      </c>
    </row>
    <row r="33">
      <c r="A33" t="inlineStr">
        <is>
          <t>Ops EV</t>
        </is>
      </c>
      <c r="D33" t="n">
        <v>3744.969925543699</v>
      </c>
    </row>
    <row r="34">
      <c r="A34" t="inlineStr">
        <is>
          <t>SOTP $/sh BASE Structure 2</t>
        </is>
      </c>
      <c r="B34" s="10" t="n">
        <v>75.2973759572412</v>
      </c>
    </row>
    <row r="36">
      <c r="A36" t="inlineStr">
        <is>
          <t>Structure 2 sensitivities</t>
        </is>
      </c>
    </row>
    <row r="37">
      <c r="A37" s="8" t="inlineStr">
        <is>
          <t>Case</t>
        </is>
      </c>
      <c r="B37" s="8" t="inlineStr">
        <is>
          <t>AL Resid $M</t>
        </is>
      </c>
      <c r="C37" s="8" t="inlineStr">
        <is>
          <t>Mult</t>
        </is>
      </c>
      <c r="D37" s="8" t="inlineStr">
        <is>
          <t>Non-ICE $/bed</t>
        </is>
      </c>
      <c r="E37" s="8" t="inlineStr">
        <is>
          <t>$/sh</t>
        </is>
      </c>
    </row>
    <row r="38">
      <c r="A38" t="inlineStr">
        <is>
          <t>Bear: full-gap AL + McRae-inflated @8x</t>
        </is>
      </c>
      <c r="B38" t="n">
        <v>365.6560501543932</v>
      </c>
      <c r="C38" t="n">
        <v>8</v>
      </c>
      <c r="D38" t="n">
        <v>79886.71726875001</v>
      </c>
      <c r="E38" s="11" t="n">
        <v>64.59680737879005</v>
      </c>
    </row>
    <row r="39">
      <c r="A39" t="inlineStr">
        <is>
          <t>Base: hybrid AL + Lawton @9x</t>
        </is>
      </c>
      <c r="B39" t="n">
        <v>416.1077695048555</v>
      </c>
      <c r="C39" t="n">
        <v>9</v>
      </c>
      <c r="D39" t="n">
        <v>136306.1316368365</v>
      </c>
      <c r="E39" s="11" t="n">
        <v>75.2973759572412</v>
      </c>
    </row>
    <row r="40">
      <c r="A40" t="inlineStr">
        <is>
          <t>Base: hybrid AL + Lawton @8x</t>
        </is>
      </c>
      <c r="B40" t="n">
        <v>416.1077695048555</v>
      </c>
      <c r="C40" t="n">
        <v>8</v>
      </c>
      <c r="D40" t="n">
        <v>136306.1316368365</v>
      </c>
      <c r="E40" s="11" t="n">
        <v>72.1518344688711</v>
      </c>
    </row>
    <row r="41">
      <c r="A41" t="inlineStr">
        <is>
          <t>Bull: lighter AL + $125k @10x</t>
        </is>
      </c>
      <c r="B41" t="n">
        <v>474.5750482871326</v>
      </c>
      <c r="C41" t="n">
        <v>10</v>
      </c>
      <c r="D41" t="n">
        <v>125000</v>
      </c>
      <c r="E41" s="11" t="n">
        <v>81.96015320599774</v>
      </c>
    </row>
    <row r="43">
      <c r="A43" s="2" t="inlineStr">
        <is>
          <t>RECOMMENDED READING</t>
        </is>
      </c>
    </row>
    <row r="44">
      <c r="A44" t="inlineStr">
        <is>
          <t>Near-term thesis (ICE sales only) → Structure 1 BASE ≈ $62.02/sh (residual ~$466M @8x)</t>
        </is>
      </c>
    </row>
    <row r="45">
      <c r="A45" t="inlineStr">
        <is>
          <t>Full RE NAV re-rate (your ask) → Structure 2 BASE ≈ $75.30/sh (AL residual ~$416M @9x)</t>
        </is>
      </c>
    </row>
    <row r="46">
      <c r="A46" t="inlineStr">
        <is>
          <t>Old $350M residual was too low vs CXW ownership haircut (~$2.1k/bed) and GEO segment mix; EM alone is ~$149M NOI annualized.</t>
        </is>
      </c>
    </row>
    <row r="47">
      <c r="A47" t="inlineStr">
        <is>
          <t>Idle at CXW is UPSIDE not in base (Structure 2 values idle at Lawton-inflated ~$136k, not $307k).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</cols>
  <sheetData>
    <row r="1">
      <c r="A1" s="3" t="inlineStr">
        <is>
          <t>Item</t>
        </is>
      </c>
      <c r="B1" s="3" t="inlineStr">
        <is>
          <t>Value</t>
        </is>
      </c>
      <c r="C1" s="3" t="inlineStr">
        <is>
          <t>Unit</t>
        </is>
      </c>
    </row>
    <row r="2">
      <c r="A2" t="inlineStr">
        <is>
          <t>Cash</t>
        </is>
      </c>
      <c r="B2" t="n">
        <v>54.992</v>
      </c>
      <c r="C2" t="inlineStr">
        <is>
          <t>$M</t>
        </is>
      </c>
    </row>
    <row r="3">
      <c r="A3" t="inlineStr">
        <is>
          <t>Gross debt</t>
        </is>
      </c>
      <c r="B3" t="n">
        <v>1542.318</v>
      </c>
      <c r="C3" t="inlineStr">
        <is>
          <t>$M</t>
        </is>
      </c>
    </row>
    <row r="4">
      <c r="A4" t="inlineStr">
        <is>
          <t>Net debt</t>
        </is>
      </c>
      <c r="B4" t="n">
        <v>1487.326</v>
      </c>
      <c r="C4" t="inlineStr">
        <is>
          <t>$M</t>
        </is>
      </c>
    </row>
    <row r="5">
      <c r="A5" t="inlineStr">
        <is>
          <t>Shares</t>
        </is>
      </c>
      <c r="B5" t="n">
        <v>132.2849407783418</v>
      </c>
      <c r="C5" t="inlineStr">
        <is>
          <t>M</t>
        </is>
      </c>
    </row>
    <row r="6">
      <c r="A6" t="inlineStr">
        <is>
          <t>Qtr-end price</t>
        </is>
      </c>
      <c r="B6" t="n">
        <v>29.55</v>
      </c>
      <c r="C6" t="inlineStr">
        <is>
          <t>$</t>
        </is>
      </c>
    </row>
    <row r="7">
      <c r="A7" t="inlineStr">
        <is>
          <t>Recent price used</t>
        </is>
      </c>
      <c r="B7" t="n">
        <v>31.64</v>
      </c>
      <c r="C7" t="inlineStr">
        <is>
          <t>$</t>
        </is>
      </c>
    </row>
    <row r="8">
      <c r="A8" t="inlineStr">
        <is>
          <t>PP&amp;E GAAP</t>
        </is>
      </c>
      <c r="B8" t="n">
        <v>1856.785</v>
      </c>
      <c r="C8" t="inlineStr">
        <is>
          <t>$M</t>
        </is>
      </c>
    </row>
    <row r="9">
      <c r="A9" t="inlineStr">
        <is>
          <t>Company owned beds</t>
        </is>
      </c>
      <c r="B9" t="n">
        <v>50440</v>
      </c>
      <c r="C9" t="inlineStr">
        <is>
          <t>beds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2026-08-11T22:14:43Z</dcterms:created>
  <dcterms:modified xsi:type="dcterms:W3CDTF">2026-08-11T22:16:08Z</dcterms:modified>
</cp:coreProperties>
</file>
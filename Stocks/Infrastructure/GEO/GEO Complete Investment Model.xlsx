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Inputs" sheetId="2" state="visible" r:id="rId2"/>
    <sheet name="02_Hist" sheetId="3" state="visible" r:id="rId3"/>
    <sheet name="03_Segments" sheetId="4" state="visible" r:id="rId4"/>
    <sheet name="04_IS_Fwd" sheetId="5" state="visible" r:id="rId5"/>
    <sheet name="05_BS_Fwd" sheetId="6" state="visible" r:id="rId6"/>
    <sheet name="06_RE_NAV" sheetId="7" state="visible" r:id="rId7"/>
    <sheet name="07_SOTP" sheetId="8" state="visible" r:id="rId8"/>
    <sheet name="08_CXW_Comps" sheetId="9" state="visible" r:id="rId9"/>
    <sheet name="09_Scen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"/>
    <numFmt numFmtId="166" formatCode="$#,##0.0"/>
    <numFmt numFmtId="167" formatCode="0.0%"/>
    <numFmt numFmtId="168" formatCode="$#,##0"/>
    <numFmt numFmtId="169" formatCode="0.0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0"/>
    </font>
    <font>
      <color rgb="000000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EEAF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5" borderId="1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4" borderId="1" pivotButton="0" quotePrefix="0" xfId="0"/>
    <xf numFmtId="165" fontId="4" fillId="4" borderId="1" pivotButton="0" quotePrefix="0" xfId="0"/>
    <xf numFmtId="166" fontId="0" fillId="5" borderId="1" pivotButton="0" quotePrefix="0" xfId="0"/>
    <xf numFmtId="165" fontId="0" fillId="5" borderId="1" pivotButton="0" quotePrefix="0" xfId="0"/>
    <xf numFmtId="167" fontId="4" fillId="4" borderId="1" pivotButton="0" quotePrefix="0" xfId="0"/>
    <xf numFmtId="167" fontId="0" fillId="5" borderId="1" pivotButton="0" quotePrefix="0" xfId="0"/>
    <xf numFmtId="3" fontId="4" fillId="4" borderId="1" pivotButton="0" quotePrefix="0" xfId="0"/>
    <xf numFmtId="3" fontId="0" fillId="5" borderId="1" pivotButton="0" quotePrefix="0" xfId="0"/>
    <xf numFmtId="168" fontId="4" fillId="4" borderId="1" pivotButton="0" quotePrefix="0" xfId="0"/>
    <xf numFmtId="168" fontId="0" fillId="5" borderId="1" pivotButton="0" quotePrefix="0" xfId="0"/>
    <xf numFmtId="167" fontId="0" fillId="0" borderId="1" pivotButton="0" quotePrefix="0" xfId="0"/>
    <xf numFmtId="0" fontId="5" fillId="0" borderId="0" pivotButton="0" quotePrefix="0" xfId="0"/>
    <xf numFmtId="168" fontId="0" fillId="0" borderId="1" pivotButton="0" quotePrefix="0" xfId="0"/>
    <xf numFmtId="3" fontId="0" fillId="0" borderId="1" pivotButton="0" quotePrefix="0" xfId="0"/>
    <xf numFmtId="0" fontId="6" fillId="0" borderId="1" pivotButton="0" quotePrefix="0" xfId="0"/>
    <xf numFmtId="167" fontId="6" fillId="0" borderId="2" pivotButton="0" quotePrefix="0" xfId="0"/>
    <xf numFmtId="169" fontId="0" fillId="5" borderId="1" pivotButton="0" quotePrefix="0" xfId="0"/>
    <xf numFmtId="1" fontId="4" fillId="4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GEO COMPLETE MODEL v2 — FORMULA-DRIVEN</t>
        </is>
      </c>
    </row>
    <row r="2">
      <c r="A2" s="2" t="inlineStr">
        <is>
          <t>Edit only BLUE cells on 01_Inputs (and blue cells elsewhere). Everything else recalculates.</t>
        </is>
      </c>
    </row>
    <row r="4">
      <c r="A4" s="3" t="inlineStr">
        <is>
          <t>LIVE OUTPUTS</t>
        </is>
      </c>
    </row>
    <row r="5">
      <c r="A5" t="inlineStr">
        <is>
          <t>Price</t>
        </is>
      </c>
      <c r="B5" s="4">
        <f>01_Inputs!B6</f>
        <v/>
      </c>
    </row>
    <row r="6">
      <c r="A6" t="inlineStr">
        <is>
          <t>Mkt cap $M</t>
        </is>
      </c>
      <c r="B6" s="5">
        <f>01_Inputs!B11</f>
        <v/>
      </c>
    </row>
    <row r="7">
      <c r="A7" t="inlineStr">
        <is>
          <t>Cash $M</t>
        </is>
      </c>
      <c r="B7" s="5">
        <f>01_Inputs!B16</f>
        <v/>
      </c>
    </row>
    <row r="8">
      <c r="A8" t="inlineStr">
        <is>
          <t>Net debt $M</t>
        </is>
      </c>
      <c r="B8" s="5">
        <f>01_Inputs!B18</f>
        <v/>
      </c>
    </row>
    <row r="9">
      <c r="A9" t="inlineStr">
        <is>
          <t>P/E FY26 guide</t>
        </is>
      </c>
      <c r="B9" s="5">
        <f>01_Inputs!B78</f>
        <v/>
      </c>
    </row>
    <row r="10">
      <c r="A10" t="inlineStr">
        <is>
          <t>EV/EBITDA FY26</t>
        </is>
      </c>
      <c r="B10" s="5">
        <f>01_Inputs!B79</f>
        <v/>
      </c>
    </row>
    <row r="11">
      <c r="A11" t="inlineStr">
        <is>
          <t>SOTP A (seg mult) $/sh</t>
        </is>
      </c>
      <c r="B11" s="6">
        <f>07_SOTP!B8</f>
        <v/>
      </c>
    </row>
    <row r="12">
      <c r="A12" t="inlineStr">
        <is>
          <t>SOTP B (full ICE) $/sh</t>
        </is>
      </c>
      <c r="B12" s="6">
        <f>07_SOTP!B19</f>
        <v/>
      </c>
    </row>
    <row r="13">
      <c r="A13" t="inlineStr">
        <is>
          <t>SOTP C (full RE NAV) $/sh</t>
        </is>
      </c>
      <c r="B13" s="6">
        <f>07_SOTP!B29</f>
        <v/>
      </c>
    </row>
    <row r="14">
      <c r="A14" t="inlineStr">
        <is>
          <t>SOTP D (several) $/sh</t>
        </is>
      </c>
      <c r="B14" s="6">
        <f>07_SOTP!B38</f>
        <v/>
      </c>
    </row>
    <row r="15">
      <c r="A15" t="inlineStr">
        <is>
          <t>Prob-weighted $/sh</t>
        </is>
      </c>
      <c r="B15" s="6">
        <f>09_Scenarios!C10</f>
        <v/>
      </c>
    </row>
    <row r="17">
      <c r="A17" s="3" t="inlineStr">
        <is>
          <t>SHEET MAP</t>
        </is>
      </c>
    </row>
    <row r="18">
      <c r="A18" t="inlineStr">
        <is>
          <t>01_Inputs — ALL drivers (beds, prices, tax, growth, margins, multiples)</t>
        </is>
      </c>
    </row>
    <row r="19">
      <c r="A19" t="inlineStr">
        <is>
          <t>02_Hist — historical IS/BS (editable actuals)</t>
        </is>
      </c>
    </row>
    <row r="20">
      <c r="A20" t="inlineStr">
        <is>
          <t>03_Segments — segment P&amp;L FY26–29 + MULTIPLES SECTION at bottom</t>
        </is>
      </c>
    </row>
    <row r="21">
      <c r="A21" t="inlineStr">
        <is>
          <t>04_IS_Fwd — consolidated P&amp;L, EPS, FCF, PE paths</t>
        </is>
      </c>
    </row>
    <row r="22">
      <c r="A22" t="inlineStr">
        <is>
          <t>05_BS_Fwd — cash, debt, leverage (cash included explicitly)</t>
        </is>
      </c>
    </row>
    <row r="23">
      <c r="A23" t="inlineStr">
        <is>
          <t>06_RE_NAV — bed × $/bed × net take; residual EBITDA</t>
        </is>
      </c>
    </row>
    <row r="24">
      <c r="A24" t="inlineStr">
        <is>
          <t>07_SOTP — four approaches, cash/debt treated once</t>
        </is>
      </c>
    </row>
    <row r="25">
      <c r="A25" t="inlineStr">
        <is>
          <t>08_CXW_Comps — trading + transaction comps</t>
        </is>
      </c>
    </row>
    <row r="26">
      <c r="A26" t="inlineStr">
        <is>
          <t>09_Scenarios — probabilities + weighted value + PE compression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55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GEO — MODEL INPUTS (edit blue cells only)</t>
        </is>
      </c>
    </row>
    <row r="2">
      <c r="A2" s="2" t="inlineStr">
        <is>
          <t>All other sheets pull from here via formulas. Blue font + blue fill = INPUT.</t>
        </is>
      </c>
    </row>
    <row r="4">
      <c r="A4" s="3" t="inlineStr">
        <is>
          <t>MARKET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Notes</t>
        </is>
      </c>
    </row>
    <row r="6">
      <c r="A6" t="inlineStr">
        <is>
          <t>GEO price</t>
        </is>
      </c>
      <c r="B6" s="8" t="n">
        <v>31.75</v>
      </c>
      <c r="C6" t="inlineStr">
        <is>
          <t>$/sh</t>
        </is>
      </c>
      <c r="D6" t="inlineStr">
        <is>
          <t>Edit to refresh valuation</t>
        </is>
      </c>
    </row>
    <row r="7">
      <c r="A7" t="inlineStr">
        <is>
          <t>GEO shares outstanding</t>
        </is>
      </c>
      <c r="B7" s="9" t="n">
        <v>131.62</v>
      </c>
      <c r="C7" t="inlineStr">
        <is>
          <t>M</t>
        </is>
      </c>
    </row>
    <row r="8">
      <c r="A8" t="inlineStr">
        <is>
          <t>GEO diluted WAS (FY26 guide)</t>
        </is>
      </c>
      <c r="B8" s="9" t="n">
        <v>132.6</v>
      </c>
      <c r="C8" t="inlineStr">
        <is>
          <t>M</t>
        </is>
      </c>
    </row>
    <row r="9">
      <c r="A9" t="inlineStr">
        <is>
          <t>CXW price</t>
        </is>
      </c>
      <c r="B9" s="8" t="n">
        <v>33.92</v>
      </c>
      <c r="C9" t="inlineStr">
        <is>
          <t>$/sh</t>
        </is>
      </c>
    </row>
    <row r="10">
      <c r="A10" t="inlineStr">
        <is>
          <t>CXW shares</t>
        </is>
      </c>
      <c r="B10" s="9" t="n">
        <v>98.89</v>
      </c>
      <c r="C10" t="inlineStr">
        <is>
          <t>M</t>
        </is>
      </c>
    </row>
    <row r="11">
      <c r="A11" t="inlineStr">
        <is>
          <t>GEO mkt cap</t>
        </is>
      </c>
      <c r="B11" s="10">
        <f>B6*B7</f>
        <v/>
      </c>
      <c r="C11" t="inlineStr">
        <is>
          <t>$M</t>
        </is>
      </c>
    </row>
    <row r="12">
      <c r="A12" t="inlineStr">
        <is>
          <t>CXW mkt cap</t>
        </is>
      </c>
      <c r="B12" s="10">
        <f>B9*B10</f>
        <v/>
      </c>
      <c r="C12" t="inlineStr">
        <is>
          <t>$M</t>
        </is>
      </c>
    </row>
    <row r="14">
      <c r="A14" s="3" t="inlineStr">
        <is>
          <t>BALANCE SHEET SNAPSHOT (6/30/26)</t>
        </is>
      </c>
    </row>
    <row r="15">
      <c r="A15" s="7" t="inlineStr">
        <is>
          <t>Parameter</t>
        </is>
      </c>
      <c r="B15" s="7" t="inlineStr">
        <is>
          <t>Value</t>
        </is>
      </c>
      <c r="C15" s="7" t="inlineStr">
        <is>
          <t>Unit</t>
        </is>
      </c>
      <c r="D15" s="7" t="inlineStr">
        <is>
          <t>Notes</t>
        </is>
      </c>
    </row>
    <row r="16">
      <c r="A16" t="inlineStr">
        <is>
          <t>Cash &amp; equiv</t>
        </is>
      </c>
      <c r="B16" s="9" t="n">
        <v>55</v>
      </c>
      <c r="C16" t="inlineStr">
        <is>
          <t>$M</t>
        </is>
      </c>
      <c r="D16" t="inlineStr">
        <is>
          <t>2Q26 BS — INCLUDE in equity bridge</t>
        </is>
      </c>
    </row>
    <row r="17">
      <c r="A17" t="inlineStr">
        <is>
          <t>Gross debt</t>
        </is>
      </c>
      <c r="B17" s="9" t="n">
        <v>1542.3</v>
      </c>
      <c r="C17" t="inlineStr">
        <is>
          <t>$M</t>
        </is>
      </c>
    </row>
    <row r="18">
      <c r="A18" t="inlineStr">
        <is>
          <t>Net debt</t>
        </is>
      </c>
      <c r="B18" s="11">
        <f>B17-B16</f>
        <v/>
      </c>
      <c r="C18" t="inlineStr">
        <is>
          <t>$M</t>
        </is>
      </c>
    </row>
    <row r="19">
      <c r="A19" t="inlineStr">
        <is>
          <t>PP&amp;E net</t>
        </is>
      </c>
      <c r="B19" s="9" t="n">
        <v>1856.8</v>
      </c>
      <c r="C19" t="inlineStr">
        <is>
          <t>$M</t>
        </is>
      </c>
    </row>
    <row r="20">
      <c r="A20" t="inlineStr">
        <is>
          <t>Book equity</t>
        </is>
      </c>
      <c r="B20" s="9" t="n">
        <v>1514.7</v>
      </c>
      <c r="C20" t="inlineStr">
        <is>
          <t>$M</t>
        </is>
      </c>
    </row>
    <row r="21">
      <c r="A21" t="inlineStr">
        <is>
          <t>Accounts receivable</t>
        </is>
      </c>
      <c r="B21" s="9" t="n">
        <v>531.9</v>
      </c>
      <c r="C21" t="inlineStr">
        <is>
          <t>$M</t>
        </is>
      </c>
    </row>
    <row r="22">
      <c r="A22" t="inlineStr">
        <is>
          <t>Idle facilities NBV</t>
        </is>
      </c>
      <c r="B22" s="9" t="n">
        <v>152.8</v>
      </c>
      <c r="C22" t="inlineStr">
        <is>
          <t>$M</t>
        </is>
      </c>
    </row>
    <row r="23">
      <c r="A23" t="inlineStr">
        <is>
          <t>Enterprise value</t>
        </is>
      </c>
      <c r="B23" s="11">
        <f>B11+B18</f>
        <v/>
      </c>
      <c r="C23" t="inlineStr">
        <is>
          <t>$M</t>
        </is>
      </c>
    </row>
    <row r="25">
      <c r="A25" s="3" t="inlineStr">
        <is>
          <t>TAX &amp; SALE FRICTION</t>
        </is>
      </c>
    </row>
    <row r="26">
      <c r="A26" s="7" t="inlineStr">
        <is>
          <t>Parameter</t>
        </is>
      </c>
      <c r="B26" s="7" t="inlineStr">
        <is>
          <t>Value</t>
        </is>
      </c>
      <c r="C26" s="7" t="inlineStr">
        <is>
          <t>Unit</t>
        </is>
      </c>
      <c r="D26" s="7" t="inlineStr">
        <is>
          <t>Notes</t>
        </is>
      </c>
    </row>
    <row r="27">
      <c r="A27" t="inlineStr">
        <is>
          <t>Federal corporate tax rate</t>
        </is>
      </c>
      <c r="B27" s="12" t="n">
        <v>0.21</v>
      </c>
      <c r="D27" t="inlineStr">
        <is>
          <t>Statutory 21%</t>
        </is>
      </c>
    </row>
    <row r="28">
      <c r="A28" t="inlineStr">
        <is>
          <t>Blended state + other</t>
        </is>
      </c>
      <c r="B28" s="12" t="n">
        <v>0.05</v>
      </c>
      <c r="D28" t="inlineStr">
        <is>
          <t>CA/TX etc. on gains; editable</t>
        </is>
      </c>
    </row>
    <row r="29">
      <c r="A29" t="inlineStr">
        <is>
          <t>Combined statutory (ex discrete)</t>
        </is>
      </c>
      <c r="B29" s="13">
        <f>B27+B28</f>
        <v/>
      </c>
    </row>
    <row r="30">
      <c r="A30" t="inlineStr">
        <is>
          <t>Company FY26 ETR (ops guide)</t>
        </is>
      </c>
      <c r="B30" s="12" t="n">
        <v>0.3</v>
      </c>
      <c r="D30" t="inlineStr">
        <is>
          <t>Guide ~30% incl discrete — use for P&amp;L</t>
        </is>
      </c>
    </row>
    <row r="31">
      <c r="A31" t="inlineStr">
        <is>
          <t>Transaction costs % of gross</t>
        </is>
      </c>
      <c r="B31" s="12" t="n">
        <v>0.04</v>
      </c>
      <c r="D31" t="inlineStr">
        <is>
          <t>Legal, broker, etc.</t>
        </is>
      </c>
    </row>
    <row r="32">
      <c r="A32" t="inlineStr">
        <is>
          <t>Est. tax on RE gain (fed+state)</t>
        </is>
      </c>
      <c r="B32" s="12" t="n">
        <v>0.25</v>
      </c>
      <c r="D32" t="inlineStr">
        <is>
          <t>CXW paid ~$0.5B tax on $2.2B ≈ 23%; book basis low → use 25% base</t>
        </is>
      </c>
    </row>
    <row r="33">
      <c r="A33" t="inlineStr">
        <is>
          <t>Net proceeds / gross</t>
        </is>
      </c>
      <c r="B33" s="13">
        <f>1-B32-B31</f>
        <v/>
      </c>
    </row>
    <row r="34">
      <c r="D34" t="inlineStr">
        <is>
          <t>CXW observed ~71-73%. Override B32/B31 to match. NOT the same as 21% statutory on full sale price (basis matters).</t>
        </is>
      </c>
    </row>
    <row r="36">
      <c r="A36" s="3" t="inlineStr">
        <is>
          <t>OWNED BED INVENTORY</t>
        </is>
      </c>
    </row>
    <row r="37">
      <c r="A37" s="7" t="inlineStr">
        <is>
          <t>Parameter</t>
        </is>
      </c>
      <c r="B37" s="7" t="inlineStr">
        <is>
          <t>Value</t>
        </is>
      </c>
      <c r="C37" s="7" t="inlineStr">
        <is>
          <t>Unit</t>
        </is>
      </c>
      <c r="D37" s="7" t="inlineStr">
        <is>
          <t>Notes</t>
        </is>
      </c>
    </row>
    <row r="38">
      <c r="A38" t="inlineStr">
        <is>
          <t>Owned ICE primary beds</t>
        </is>
      </c>
      <c r="B38" s="14" t="n">
        <v>25479</v>
      </c>
    </row>
    <row r="39">
      <c r="A39" t="inlineStr">
        <is>
          <t>Joe Corley dual beds</t>
        </is>
      </c>
      <c r="B39" s="14" t="n">
        <v>1517</v>
      </c>
    </row>
    <row r="40">
      <c r="A40" t="inlineStr">
        <is>
          <t>ICE + dual</t>
        </is>
      </c>
      <c r="B40" s="15">
        <f>B38+B39</f>
        <v/>
      </c>
    </row>
    <row r="41">
      <c r="A41" t="inlineStr">
        <is>
          <t>Owned USMS beds</t>
        </is>
      </c>
      <c r="B41" s="14" t="n">
        <v>8591</v>
      </c>
    </row>
    <row r="42">
      <c r="A42" t="inlineStr">
        <is>
          <t>Owned state (Riverbend)</t>
        </is>
      </c>
      <c r="B42" s="14" t="n">
        <v>1500</v>
      </c>
    </row>
    <row r="43">
      <c r="A43" t="inlineStr">
        <is>
          <t>Owned idle secure</t>
        </is>
      </c>
      <c r="B43" s="14" t="n">
        <v>4576</v>
      </c>
    </row>
    <row r="44">
      <c r="A44" t="inlineStr">
        <is>
          <t>Other owned secure</t>
        </is>
      </c>
      <c r="B44" s="15">
        <f>B41+B42+B43</f>
        <v/>
      </c>
    </row>
    <row r="45">
      <c r="A45" t="inlineStr">
        <is>
          <t>Total owned secure</t>
        </is>
      </c>
      <c r="B45" s="15">
        <f>B40+B44</f>
        <v/>
      </c>
    </row>
    <row r="46">
      <c r="A46" t="inlineStr">
        <is>
          <t>Reentry / other owned plug</t>
        </is>
      </c>
      <c r="B46" s="14" t="n">
        <v>5413</v>
      </c>
    </row>
    <row r="47">
      <c r="A47" t="inlineStr">
        <is>
          <t>Leased-out owned</t>
        </is>
      </c>
      <c r="B47" s="14" t="n">
        <v>3364</v>
      </c>
    </row>
    <row r="48">
      <c r="A48" t="inlineStr">
        <is>
          <t>Company owned check</t>
        </is>
      </c>
      <c r="B48" s="15">
        <f>B45+B46+B47</f>
        <v/>
      </c>
    </row>
    <row r="49">
      <c r="A49" t="inlineStr">
        <is>
          <t>Company owned (supplemental)</t>
        </is>
      </c>
      <c r="B49" s="14" t="n">
        <v>50440</v>
      </c>
    </row>
    <row r="50">
      <c r="A50" t="inlineStr">
        <is>
          <t>'Several' sale beds proxy</t>
        </is>
      </c>
      <c r="B50" s="14" t="n">
        <v>5683</v>
      </c>
      <c r="D50" t="inlineStr">
        <is>
          <t>Aurora+NW+Broward+Moshannon</t>
        </is>
      </c>
    </row>
    <row r="51">
      <c r="A51" t="inlineStr">
        <is>
          <t>Owned Secure RP beds (Q2)</t>
        </is>
      </c>
      <c r="B51" s="14" t="n">
        <v>36595</v>
      </c>
    </row>
    <row r="53">
      <c r="A53" s="3" t="inlineStr">
        <is>
          <t>RE PRICING ($/bed)</t>
        </is>
      </c>
    </row>
    <row r="54">
      <c r="A54" s="7" t="inlineStr">
        <is>
          <t>Parameter</t>
        </is>
      </c>
      <c r="B54" s="7" t="inlineStr">
        <is>
          <t>Value</t>
        </is>
      </c>
      <c r="C54" s="7" t="inlineStr">
        <is>
          <t>Unit</t>
        </is>
      </c>
      <c r="D54" s="7" t="inlineStr">
        <is>
          <t>Notes</t>
        </is>
      </c>
    </row>
    <row r="55">
      <c r="A55" t="inlineStr">
        <is>
          <t>ICE $/bed (CXW avg)</t>
        </is>
      </c>
      <c r="B55" s="16" t="n">
        <v>306915</v>
      </c>
    </row>
    <row r="56">
      <c r="A56" t="inlineStr">
        <is>
          <t>Non-ICE $/bed (Lawton inflated)</t>
        </is>
      </c>
      <c r="B56" s="16" t="n">
        <v>136306</v>
      </c>
    </row>
    <row r="57">
      <c r="A57" t="inlineStr">
        <is>
          <t>Non-ICE bear (McRae inflated)</t>
        </is>
      </c>
      <c r="B57" s="16" t="n">
        <v>79887</v>
      </c>
    </row>
    <row r="58">
      <c r="A58" t="inlineStr">
        <is>
          <t>Mgmt secure replacement</t>
        </is>
      </c>
      <c r="B58" s="16" t="n">
        <v>125000</v>
      </c>
    </row>
    <row r="59">
      <c r="A59" t="inlineStr">
        <is>
          <t>Reentry $/bed</t>
        </is>
      </c>
      <c r="B59" s="16" t="n">
        <v>76500</v>
      </c>
    </row>
    <row r="61">
      <c r="A61" s="3" t="inlineStr">
        <is>
          <t>OWNERSHIP HAIRCUT ($/bed/yr EBITDA)</t>
        </is>
      </c>
    </row>
    <row r="62">
      <c r="A62" s="7" t="inlineStr">
        <is>
          <t>Parameter</t>
        </is>
      </c>
      <c r="B62" s="7" t="inlineStr">
        <is>
          <t>Value</t>
        </is>
      </c>
      <c r="C62" s="7" t="inlineStr">
        <is>
          <t>Unit</t>
        </is>
      </c>
      <c r="D62" s="7" t="inlineStr">
        <is>
          <t>Notes</t>
        </is>
      </c>
    </row>
    <row r="63">
      <c r="A63" t="inlineStr">
        <is>
          <t>CXW observed cut $/bed</t>
        </is>
      </c>
      <c r="B63" s="16" t="n">
        <v>2059</v>
      </c>
      <c r="D63" t="inlineStr">
        <is>
          <t>$14.8M / 7187 beds</t>
        </is>
      </c>
    </row>
    <row r="64">
      <c r="A64" t="inlineStr">
        <is>
          <t>GEO owned→managed gap $/bed</t>
        </is>
      </c>
      <c r="B64" s="16" t="n">
        <v>5174</v>
      </c>
      <c r="D64" t="inlineStr">
        <is>
          <t>From segment margins</t>
        </is>
      </c>
    </row>
    <row r="65">
      <c r="A65" t="inlineStr">
        <is>
          <t>Weight on CXW cut</t>
        </is>
      </c>
      <c r="B65" s="12" t="n">
        <v>0.6</v>
      </c>
      <c r="D65" t="inlineStr">
        <is>
          <t>Blend weight</t>
        </is>
      </c>
    </row>
    <row r="66">
      <c r="A66" t="inlineStr">
        <is>
          <t>Blend cut $/bed</t>
        </is>
      </c>
      <c r="B66" s="17">
        <f>B65*B63+(1-B65)*B64</f>
        <v/>
      </c>
    </row>
    <row r="68">
      <c r="A68" s="3" t="inlineStr">
        <is>
          <t>FY26 COMPANY GUIDE (mid)</t>
        </is>
      </c>
    </row>
    <row r="69">
      <c r="A69" s="7" t="inlineStr">
        <is>
          <t>Parameter</t>
        </is>
      </c>
      <c r="B69" s="7" t="inlineStr">
        <is>
          <t>Value</t>
        </is>
      </c>
      <c r="C69" s="7" t="inlineStr">
        <is>
          <t>Unit</t>
        </is>
      </c>
      <c r="D69" s="7" t="inlineStr">
        <is>
          <t>Notes</t>
        </is>
      </c>
    </row>
    <row r="70">
      <c r="A70" t="inlineStr">
        <is>
          <t>Revenue</t>
        </is>
      </c>
      <c r="B70" s="9" t="n">
        <v>3000</v>
      </c>
    </row>
    <row r="71">
      <c r="A71" t="inlineStr">
        <is>
          <t>Adj EBITDA</t>
        </is>
      </c>
      <c r="B71" s="9" t="n">
        <v>555</v>
      </c>
    </row>
    <row r="72">
      <c r="A72" t="inlineStr">
        <is>
          <t>Net income</t>
        </is>
      </c>
      <c r="B72" s="9" t="n">
        <v>171.5</v>
      </c>
    </row>
    <row r="73">
      <c r="A73" t="inlineStr">
        <is>
          <t>EPS</t>
        </is>
      </c>
      <c r="B73" s="8" t="n">
        <v>1.295</v>
      </c>
    </row>
    <row r="74">
      <c r="A74" t="inlineStr">
        <is>
          <t>D&amp;A</t>
        </is>
      </c>
      <c r="B74" s="9" t="n">
        <v>139</v>
      </c>
    </row>
    <row r="75">
      <c r="A75" t="inlineStr">
        <is>
          <t>Net interest expense</t>
        </is>
      </c>
      <c r="B75" s="9" t="n">
        <v>145.25</v>
      </c>
    </row>
    <row r="76">
      <c r="A76" t="inlineStr">
        <is>
          <t>Unreimbursed CapEx</t>
        </is>
      </c>
      <c r="B76" s="9" t="n">
        <v>140</v>
      </c>
    </row>
    <row r="77">
      <c r="A77" t="inlineStr">
        <is>
          <t>SBC</t>
        </is>
      </c>
      <c r="B77" s="9" t="n">
        <v>23.5</v>
      </c>
    </row>
    <row r="78">
      <c r="A78" t="inlineStr">
        <is>
          <t>P/E on FY26 guide EPS</t>
        </is>
      </c>
      <c r="B78" s="11">
        <f>B6/B73</f>
        <v/>
      </c>
    </row>
    <row r="79">
      <c r="A79" t="inlineStr">
        <is>
          <t>EV / FY26E EBITDA</t>
        </is>
      </c>
      <c r="B79" s="11">
        <f>B23/B71</f>
        <v/>
      </c>
    </row>
    <row r="81">
      <c r="A81" s="3" t="inlineStr">
        <is>
          <t>CORPORATE</t>
        </is>
      </c>
    </row>
    <row r="82">
      <c r="A82" s="7" t="inlineStr">
        <is>
          <t>Parameter</t>
        </is>
      </c>
      <c r="B82" s="7" t="inlineStr">
        <is>
          <t>Value</t>
        </is>
      </c>
      <c r="C82" s="7" t="inlineStr">
        <is>
          <t>Unit</t>
        </is>
      </c>
      <c r="D82" s="7" t="inlineStr">
        <is>
          <t>Notes</t>
        </is>
      </c>
    </row>
    <row r="83">
      <c r="A83" t="inlineStr">
        <is>
          <t>G&amp;A annualized (Q2×4)</t>
        </is>
      </c>
      <c r="B83" s="9" t="n">
        <v>261.9</v>
      </c>
      <c r="D83" t="inlineStr">
        <is>
          <t>$65.47M × 4</t>
        </is>
      </c>
    </row>
    <row r="84">
      <c r="A84" t="inlineStr">
        <is>
          <t>G&amp;A growth rate p.a.</t>
        </is>
      </c>
      <c r="B84" s="12" t="n">
        <v>0.03</v>
      </c>
    </row>
    <row r="86">
      <c r="A86" s="3" t="inlineStr">
        <is>
          <t>BASE CASE GROWTH / MARGIN DRIVERS (edit → flows to Segments &amp; IS)</t>
        </is>
      </c>
    </row>
    <row r="87">
      <c r="A87" s="7" t="inlineStr">
        <is>
          <t>Segment</t>
        </is>
      </c>
      <c r="B87" s="7" t="inlineStr">
        <is>
          <t>2027 rev g</t>
        </is>
      </c>
      <c r="C87" s="7" t="inlineStr">
        <is>
          <t>2028 rev g</t>
        </is>
      </c>
      <c r="D87" s="7" t="inlineStr">
        <is>
          <t>2029 rev g</t>
        </is>
      </c>
      <c r="E87" s="7" t="inlineStr">
        <is>
          <t>NOI margin 26E</t>
        </is>
      </c>
      <c r="F87" s="7" t="inlineStr">
        <is>
          <t>NOI mgn 27E</t>
        </is>
      </c>
      <c r="G87" s="7" t="inlineStr">
        <is>
          <t>NOI mgn 28E</t>
        </is>
      </c>
      <c r="H87" s="7" t="inlineStr">
        <is>
          <t>NOI mgn 29E</t>
        </is>
      </c>
    </row>
    <row r="88">
      <c r="A88" t="inlineStr">
        <is>
          <t>Owned Secure</t>
        </is>
      </c>
      <c r="B88" s="12" t="n">
        <v>0.12</v>
      </c>
      <c r="C88" s="12" t="n">
        <v>0.03</v>
      </c>
      <c r="D88" s="12" t="n">
        <v>-0.08</v>
      </c>
      <c r="E88" s="12" t="n">
        <v>0.288</v>
      </c>
      <c r="F88" s="12" t="n">
        <v>0.29</v>
      </c>
      <c r="G88" s="12" t="n">
        <v>0.28</v>
      </c>
      <c r="H88" s="12" t="n">
        <v>0.26</v>
      </c>
    </row>
    <row r="89">
      <c r="A89" t="inlineStr">
        <is>
          <t>Owned Reentry</t>
        </is>
      </c>
      <c r="B89" s="12" t="n">
        <v>0.04</v>
      </c>
      <c r="C89" s="12" t="n">
        <v>0.03</v>
      </c>
      <c r="D89" s="12" t="n">
        <v>0.02</v>
      </c>
      <c r="E89" s="12" t="n">
        <v>0.342</v>
      </c>
      <c r="F89" s="12" t="n">
        <v>0.34</v>
      </c>
      <c r="G89" s="12" t="n">
        <v>0.335</v>
      </c>
      <c r="H89" s="12" t="n">
        <v>0.33</v>
      </c>
    </row>
    <row r="90">
      <c r="A90" t="inlineStr">
        <is>
          <t>Managed Only</t>
        </is>
      </c>
      <c r="B90" s="12" t="n">
        <v>0.15</v>
      </c>
      <c r="C90" s="12" t="n">
        <v>0.08</v>
      </c>
      <c r="D90" s="12" t="n">
        <v>-0.05</v>
      </c>
      <c r="E90" s="12" t="n">
        <v>0.167</v>
      </c>
      <c r="F90" s="12" t="n">
        <v>0.17</v>
      </c>
      <c r="G90" s="12" t="n">
        <v>0.168</v>
      </c>
      <c r="H90" s="12" t="n">
        <v>0.16</v>
      </c>
    </row>
    <row r="91">
      <c r="A91" t="inlineStr">
        <is>
          <t>EM</t>
        </is>
      </c>
      <c r="B91" s="12" t="n">
        <v>0.05</v>
      </c>
      <c r="C91" s="12" t="n">
        <v>0.08</v>
      </c>
      <c r="D91" s="12" t="n">
        <v>0.12</v>
      </c>
      <c r="E91" s="12" t="n">
        <v>0.487</v>
      </c>
      <c r="F91" s="12" t="n">
        <v>0.48</v>
      </c>
      <c r="G91" s="12" t="n">
        <v>0.475</v>
      </c>
      <c r="H91" s="12" t="n">
        <v>0.47</v>
      </c>
    </row>
    <row r="92">
      <c r="A92" t="inlineStr">
        <is>
          <t>NonRes</t>
        </is>
      </c>
      <c r="B92" s="12" t="n">
        <v>0.03</v>
      </c>
      <c r="C92" s="12" t="n">
        <v>0.02</v>
      </c>
      <c r="D92" s="12" t="n">
        <v>0.02</v>
      </c>
      <c r="E92" s="12" t="n">
        <v>0.296</v>
      </c>
      <c r="F92" s="12" t="n">
        <v>0.295</v>
      </c>
      <c r="G92" s="12" t="n">
        <v>0.29</v>
      </c>
      <c r="H92" s="12" t="n">
        <v>0.29</v>
      </c>
    </row>
    <row r="94">
      <c r="A94" s="3" t="inlineStr">
        <is>
          <t>2026E SEGMENT SEEDS ($M) — start from Q2 run-rate; scale factor ties to guide</t>
        </is>
      </c>
    </row>
    <row r="95">
      <c r="A95" s="7" t="inlineStr">
        <is>
          <t>Segment</t>
        </is>
      </c>
      <c r="B95" s="7" t="inlineStr">
        <is>
          <t>Q2 ann Rev</t>
        </is>
      </c>
      <c r="C95" s="7" t="inlineStr">
        <is>
          <t>Q2 ann NOI</t>
        </is>
      </c>
      <c r="D95" s="7" t="inlineStr">
        <is>
          <t>Scale to FY26</t>
        </is>
      </c>
      <c r="E95" s="7" t="inlineStr">
        <is>
          <t>FY26E Rev</t>
        </is>
      </c>
      <c r="F95" s="7" t="inlineStr">
        <is>
          <t>FY26E NOI</t>
        </is>
      </c>
    </row>
    <row r="96">
      <c r="A96" t="inlineStr">
        <is>
          <t>Owned Secure</t>
        </is>
      </c>
      <c r="B96" s="9" t="n">
        <v>1563.4</v>
      </c>
      <c r="C96" s="9" t="n">
        <v>450.9</v>
      </c>
      <c r="D96" s="23" t="n"/>
      <c r="E96" s="5">
        <f>B96*$B$101</f>
        <v/>
      </c>
      <c r="F96" s="5">
        <f>C96*$B$101</f>
        <v/>
      </c>
    </row>
    <row r="97">
      <c r="A97" t="inlineStr">
        <is>
          <t>Owned Reentry</t>
        </is>
      </c>
      <c r="B97" s="9" t="n">
        <v>170.6</v>
      </c>
      <c r="C97" s="9" t="n">
        <v>58.3</v>
      </c>
      <c r="E97" s="5">
        <f>B97*$B$101</f>
        <v/>
      </c>
      <c r="F97" s="5">
        <f>C97*$B$101</f>
        <v/>
      </c>
    </row>
    <row r="98">
      <c r="A98" t="inlineStr">
        <is>
          <t>Managed Only</t>
        </is>
      </c>
      <c r="B98" s="9" t="n">
        <v>769.5</v>
      </c>
      <c r="C98" s="9" t="n">
        <v>128.7</v>
      </c>
      <c r="E98" s="5">
        <f>B98*$B$101</f>
        <v/>
      </c>
      <c r="F98" s="5">
        <f>C98*$B$101</f>
        <v/>
      </c>
    </row>
    <row r="99">
      <c r="A99" t="inlineStr">
        <is>
          <t>EM</t>
        </is>
      </c>
      <c r="B99" s="9" t="n">
        <v>304.6</v>
      </c>
      <c r="C99" s="9" t="n">
        <v>148.5</v>
      </c>
      <c r="E99" s="5">
        <f>B99*$B$101</f>
        <v/>
      </c>
      <c r="F99" s="5">
        <f>C99*$B$101</f>
        <v/>
      </c>
    </row>
    <row r="100">
      <c r="A100" t="inlineStr">
        <is>
          <t>NonRes</t>
        </is>
      </c>
      <c r="B100" s="9" t="n">
        <v>120.1</v>
      </c>
      <c r="C100" s="9" t="n">
        <v>35.6</v>
      </c>
      <c r="E100" s="5">
        <f>B100*$B$101</f>
        <v/>
      </c>
      <c r="F100" s="5">
        <f>C100*$B$101</f>
        <v/>
      </c>
    </row>
    <row r="101">
      <c r="A101" t="inlineStr">
        <is>
          <t>Rev scale = FY26 guide / SUM(Q2 ann rev)</t>
        </is>
      </c>
      <c r="B101" s="24">
        <f>B70/SUM(B96:B100)</f>
        <v/>
      </c>
      <c r="C101" t="inlineStr">
        <is>
          <t>ratio</t>
        </is>
      </c>
    </row>
    <row r="103">
      <c r="A103" s="3" t="inlineStr">
        <is>
          <t>SEGMENT EXIT MULTIPLES (NOI or EBITDA-like — applied to segment NOI)</t>
        </is>
      </c>
    </row>
    <row r="104">
      <c r="A104" s="7" t="inlineStr">
        <is>
          <t>Segment</t>
        </is>
      </c>
      <c r="B104" s="7" t="inlineStr">
        <is>
          <t>Bull x</t>
        </is>
      </c>
      <c r="C104" s="7" t="inlineStr">
        <is>
          <t>Base x</t>
        </is>
      </c>
      <c r="D104" s="7" t="inlineStr">
        <is>
          <t>Bear x</t>
        </is>
      </c>
      <c r="E104" s="7" t="inlineStr">
        <is>
          <t>Rationale</t>
        </is>
      </c>
    </row>
    <row r="105">
      <c r="A105" t="inlineStr">
        <is>
          <t>Owned Secure</t>
        </is>
      </c>
      <c r="B105" s="9" t="n">
        <v>7</v>
      </c>
      <c r="C105" s="9" t="n">
        <v>6</v>
      </c>
      <c r="D105" s="9" t="n">
        <v>4</v>
      </c>
      <c r="E105" t="inlineStr">
        <is>
          <t>RE-heavy; use with care if also counting RE NAV</t>
        </is>
      </c>
    </row>
    <row r="106">
      <c r="A106" t="inlineStr">
        <is>
          <t>Owned Reentry</t>
        </is>
      </c>
      <c r="B106" s="9" t="n">
        <v>7</v>
      </c>
      <c r="C106" s="9" t="n">
        <v>6</v>
      </c>
      <c r="D106" s="9" t="n">
        <v>5</v>
      </c>
      <c r="E106" t="inlineStr">
        <is>
          <t>Lower political heat</t>
        </is>
      </c>
    </row>
    <row r="107">
      <c r="A107" t="inlineStr">
        <is>
          <t>Managed Only</t>
        </is>
      </c>
      <c r="B107" s="9" t="n">
        <v>8</v>
      </c>
      <c r="C107" s="9" t="n">
        <v>7</v>
      </c>
      <c r="D107" s="9" t="n">
        <v>5</v>
      </c>
      <c r="E107" t="inlineStr">
        <is>
          <t>Asset-light ops</t>
        </is>
      </c>
    </row>
    <row r="108">
      <c r="A108" t="inlineStr">
        <is>
          <t>EM</t>
        </is>
      </c>
      <c r="B108" s="9" t="n">
        <v>12</v>
      </c>
      <c r="C108" s="9" t="n">
        <v>10</v>
      </c>
      <c r="D108" s="9" t="n">
        <v>7</v>
      </c>
      <c r="E108" t="inlineStr">
        <is>
          <t>High margin software-like services</t>
        </is>
      </c>
    </row>
    <row r="109">
      <c r="A109" t="inlineStr">
        <is>
          <t>NonRes</t>
        </is>
      </c>
      <c r="B109" s="9" t="n">
        <v>8</v>
      </c>
      <c r="C109" s="9" t="n">
        <v>7</v>
      </c>
      <c r="D109" s="9" t="n">
        <v>5</v>
      </c>
      <c r="E109" t="inlineStr">
        <is>
          <t>Community services</t>
        </is>
      </c>
    </row>
    <row r="110">
      <c r="A110" t="inlineStr">
        <is>
          <t>Corporate G&amp;A</t>
        </is>
      </c>
      <c r="B110" s="9" t="n">
        <v>7</v>
      </c>
      <c r="C110" s="9" t="n">
        <v>7</v>
      </c>
      <c r="D110" s="9" t="n">
        <v>6</v>
      </c>
      <c r="E110" t="inlineStr">
        <is>
          <t>Capitalize G&amp;A as cost at ops multiple</t>
        </is>
      </c>
    </row>
    <row r="113">
      <c r="A113" s="3" t="inlineStr">
        <is>
          <t>CONSOLIDATED MULTIPLES</t>
        </is>
      </c>
    </row>
    <row r="114">
      <c r="A114" t="inlineStr">
        <is>
          <t>ICE-sale residual EV/EBITDA (base)</t>
        </is>
      </c>
      <c r="B114" s="9" t="n">
        <v>8</v>
      </c>
    </row>
    <row r="115">
      <c r="A115" t="inlineStr">
        <is>
          <t>Asset-light EV/EBITDA (base)</t>
        </is>
      </c>
      <c r="B115" s="9" t="n">
        <v>9</v>
      </c>
    </row>
    <row r="116">
      <c r="A116" t="inlineStr">
        <is>
          <t>Political bear EV/EBITDA</t>
        </is>
      </c>
      <c r="B116" s="9" t="n">
        <v>5.5</v>
      </c>
    </row>
    <row r="117">
      <c r="A117" t="inlineStr">
        <is>
          <t>Target P/E mid-cycle</t>
        </is>
      </c>
      <c r="B117" s="9" t="n">
        <v>15</v>
      </c>
    </row>
    <row r="118">
      <c r="A118" t="inlineStr">
        <is>
          <t>Target P/E growth</t>
        </is>
      </c>
      <c r="B118" s="9" t="n">
        <v>18</v>
      </c>
    </row>
    <row r="120">
      <c r="A120" s="3" t="inlineStr">
        <is>
          <t>SALE SCENARIO TOGGLES</t>
        </is>
      </c>
    </row>
    <row r="121">
      <c r="A121" t="inlineStr">
        <is>
          <t>Beds sold in 'full ICE' case</t>
        </is>
      </c>
      <c r="B121" s="14" t="n">
        <v>26996</v>
      </c>
      <c r="D121" t="inlineStr">
        <is>
          <t>Default = ICE+dual</t>
        </is>
      </c>
    </row>
    <row r="122">
      <c r="A122" t="inlineStr">
        <is>
          <t>Beds sold in 'several' case</t>
        </is>
      </c>
      <c r="B122" s="14" t="n">
        <v>5683</v>
      </c>
    </row>
    <row r="123">
      <c r="A123" t="inlineStr">
        <is>
          <t>Beds sold in 'none' case</t>
        </is>
      </c>
      <c r="B123" s="14" t="n">
        <v>0</v>
      </c>
    </row>
    <row r="125">
      <c r="A125" s="3" t="inlineStr">
        <is>
          <t>WORKING CAPITAL &amp; OTHER (for deeper BS)</t>
        </is>
      </c>
    </row>
    <row r="126">
      <c r="A126" t="inlineStr">
        <is>
          <t>AR days (approx)</t>
        </is>
      </c>
      <c r="B126" s="25" t="n">
        <v>65</v>
      </c>
    </row>
    <row r="127">
      <c r="A127" t="inlineStr">
        <is>
          <t>AP + accrued days</t>
        </is>
      </c>
      <c r="B127" s="25" t="n">
        <v>35</v>
      </c>
    </row>
    <row r="128">
      <c r="A128" t="inlineStr">
        <is>
          <t>Maintenance CapEx % of rev</t>
        </is>
      </c>
      <c r="B128" s="12" t="n">
        <v>0.03</v>
      </c>
    </row>
    <row r="129">
      <c r="A129" t="inlineStr">
        <is>
          <t>Growth CapEx $M 2027 (Rivers/BH etc)</t>
        </is>
      </c>
      <c r="B129" s="9" t="n">
        <v>20</v>
      </c>
    </row>
    <row r="130">
      <c r="A130" t="inlineStr">
        <is>
          <t>Buyback $M / year base</t>
        </is>
      </c>
      <c r="B130" s="9" t="n">
        <v>150</v>
      </c>
    </row>
    <row r="131">
      <c r="A131" t="inlineStr">
        <is>
          <t>Dividend $M / year</t>
        </is>
      </c>
      <c r="B13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HISTORICAL FINANCIALS ($M) — blue = editable actuals</t>
        </is>
      </c>
    </row>
    <row r="2">
      <c r="A2" s="7" t="inlineStr">
        <is>
          <t>Year</t>
        </is>
      </c>
      <c r="B2" s="7" t="inlineStr">
        <is>
          <t>2022A</t>
        </is>
      </c>
      <c r="C2" s="7" t="inlineStr">
        <is>
          <t>2023A</t>
        </is>
      </c>
      <c r="D2" s="7" t="inlineStr">
        <is>
          <t>2024A</t>
        </is>
      </c>
      <c r="E2" s="7" t="inlineStr">
        <is>
          <t>2025A</t>
        </is>
      </c>
      <c r="F2" s="7" t="inlineStr">
        <is>
          <t>1H26A</t>
        </is>
      </c>
      <c r="G2" s="7" t="inlineStr">
        <is>
          <t>Source</t>
        </is>
      </c>
    </row>
    <row r="3">
      <c r="A3" t="inlineStr">
        <is>
          <t>Revenue</t>
        </is>
      </c>
      <c r="B3" s="9" t="n">
        <v>2376.7</v>
      </c>
      <c r="C3" s="9" t="n">
        <v>2413.2</v>
      </c>
      <c r="D3" s="9" t="n">
        <v>2423.7</v>
      </c>
      <c r="E3" s="9" t="n">
        <v>2631.5</v>
      </c>
      <c r="F3" s="9" t="n">
        <v>1437.3</v>
      </c>
    </row>
    <row r="4">
      <c r="A4" t="inlineStr">
        <is>
          <t>Adj EBITDA</t>
        </is>
      </c>
      <c r="B4" s="9" t="n">
        <v>533</v>
      </c>
      <c r="C4" s="9" t="n">
        <v>486</v>
      </c>
      <c r="D4" s="9" t="n">
        <v>463.5</v>
      </c>
      <c r="E4" s="9" t="n">
        <v>464.4</v>
      </c>
      <c r="F4" s="9" t="n">
        <v>273.4</v>
      </c>
    </row>
    <row r="5">
      <c r="A5" t="inlineStr">
        <is>
          <t>GAAP NI</t>
        </is>
      </c>
      <c r="B5" s="9" t="n">
        <v>171.8</v>
      </c>
      <c r="C5" s="9" t="n">
        <v>107.3</v>
      </c>
      <c r="D5" s="9" t="n">
        <v>32</v>
      </c>
      <c r="E5" s="9" t="n">
        <v>254.4</v>
      </c>
      <c r="F5" s="9" t="n">
        <v>85.8</v>
      </c>
    </row>
    <row r="6">
      <c r="A6" t="inlineStr">
        <is>
          <t>EPS diluted</t>
        </is>
      </c>
      <c r="B6" s="8" t="n">
        <v>1.4</v>
      </c>
      <c r="C6" s="8" t="n">
        <v>0.87</v>
      </c>
      <c r="D6" s="8" t="n">
        <v>0.24</v>
      </c>
      <c r="E6" s="8" t="n">
        <v>1.82</v>
      </c>
      <c r="F6" s="8" t="n">
        <v>0.65</v>
      </c>
    </row>
    <row r="7">
      <c r="A7" t="inlineStr">
        <is>
          <t>D&amp;A</t>
        </is>
      </c>
      <c r="B7" s="9" t="n">
        <v>132.9</v>
      </c>
      <c r="C7" s="9" t="n">
        <v>125.8</v>
      </c>
      <c r="D7" s="9" t="n">
        <v>126.2</v>
      </c>
      <c r="E7" s="9" t="n">
        <v>132</v>
      </c>
      <c r="F7" s="9" t="n">
        <v>68</v>
      </c>
    </row>
    <row r="8">
      <c r="A8" t="inlineStr">
        <is>
          <t>Interest exp</t>
        </is>
      </c>
      <c r="B8" s="9" t="n">
        <v>164.6</v>
      </c>
      <c r="C8" s="9" t="n">
        <v>218.3</v>
      </c>
      <c r="D8" s="9" t="n">
        <v>190.6</v>
      </c>
      <c r="E8" s="9" t="n">
        <v>160.5</v>
      </c>
      <c r="F8" s="9" t="n">
        <v>76.90000000000001</v>
      </c>
    </row>
    <row r="9">
      <c r="A9" t="inlineStr">
        <is>
          <t>Cash</t>
        </is>
      </c>
      <c r="B9" s="9" t="n">
        <v>95.09999999999999</v>
      </c>
      <c r="C9" s="9" t="n">
        <v>94</v>
      </c>
      <c r="D9" s="9" t="n">
        <v>76.90000000000001</v>
      </c>
      <c r="E9" s="9" t="n">
        <v>69</v>
      </c>
      <c r="F9" s="9" t="n">
        <v>55</v>
      </c>
    </row>
    <row r="10">
      <c r="A10" t="inlineStr">
        <is>
          <t>Gross debt</t>
        </is>
      </c>
      <c r="B10" s="9" t="n">
        <v>2074.3</v>
      </c>
      <c r="C10" s="9" t="n">
        <v>1888.1</v>
      </c>
      <c r="D10" s="9" t="n">
        <v>1811.8</v>
      </c>
      <c r="E10" s="9" t="n">
        <v>1725.4</v>
      </c>
      <c r="F10" s="9" t="n">
        <v>1542.3</v>
      </c>
    </row>
    <row r="11">
      <c r="A11" t="inlineStr">
        <is>
          <t>Net debt</t>
        </is>
      </c>
      <c r="B11" s="9" t="n">
        <v>1979.2</v>
      </c>
      <c r="C11" s="9" t="n">
        <v>1794.1</v>
      </c>
      <c r="D11" s="9" t="n">
        <v>1734.9</v>
      </c>
      <c r="E11" s="9" t="n">
        <v>1656.4</v>
      </c>
      <c r="F11" s="9" t="n">
        <v>1487.3</v>
      </c>
    </row>
    <row r="12">
      <c r="A12" t="inlineStr">
        <is>
          <t>PP&amp;E</t>
        </is>
      </c>
      <c r="B12" s="9" t="n">
        <v>2093</v>
      </c>
      <c r="C12" s="9" t="n">
        <v>2046.5</v>
      </c>
      <c r="D12" s="9" t="n">
        <v>1995</v>
      </c>
      <c r="E12" s="9" t="n">
        <v>1956.5</v>
      </c>
      <c r="F12" s="9" t="n">
        <v>1856.8</v>
      </c>
    </row>
    <row r="13">
      <c r="A13" t="inlineStr">
        <is>
          <t>Equity</t>
        </is>
      </c>
      <c r="B13" s="9" t="n">
        <v>1166.4</v>
      </c>
      <c r="C13" s="9" t="n">
        <v>1291.8</v>
      </c>
      <c r="D13" s="9" t="n">
        <v>1334.9</v>
      </c>
      <c r="E13" s="9" t="n">
        <v>1505.8</v>
      </c>
      <c r="F13" s="9" t="n">
        <v>1514.7</v>
      </c>
    </row>
    <row r="14">
      <c r="A14" t="inlineStr">
        <is>
          <t>Diluted shares M</t>
        </is>
      </c>
      <c r="B14" s="9" t="n">
        <v>122.3</v>
      </c>
      <c r="C14" s="9" t="n">
        <v>123.7</v>
      </c>
      <c r="D14" s="9" t="n">
        <v>134.1</v>
      </c>
      <c r="E14" s="9" t="n">
        <v>139.7</v>
      </c>
      <c r="F14" s="9" t="n">
        <v>133</v>
      </c>
    </row>
    <row r="16">
      <c r="A16" t="inlineStr">
        <is>
          <t>Rev YoY %</t>
        </is>
      </c>
      <c r="C16" s="18">
        <f>C3/B3-1</f>
        <v/>
      </c>
      <c r="D16" s="18">
        <f>D3/C3-1</f>
        <v/>
      </c>
      <c r="E16" s="18">
        <f>E3/D3-1</f>
        <v/>
      </c>
    </row>
    <row r="17">
      <c r="A17" t="inlineStr">
        <is>
          <t>Adj EBITDA margin %</t>
        </is>
      </c>
      <c r="B17" s="18">
        <f>B4/B3</f>
        <v/>
      </c>
      <c r="C17" s="18">
        <f>C4/C3</f>
        <v/>
      </c>
      <c r="D17" s="18">
        <f>D4/D3</f>
        <v/>
      </c>
      <c r="E17" s="18">
        <f>E4/E3</f>
        <v/>
      </c>
      <c r="F17" s="18">
        <f>F4/F3</f>
        <v/>
      </c>
    </row>
    <row r="18">
      <c r="A18" t="inlineStr">
        <is>
          <t>Net leverage (x)</t>
        </is>
      </c>
      <c r="B18" s="5">
        <f>B11/B4</f>
        <v/>
      </c>
      <c r="C18" s="5">
        <f>C11/C4</f>
        <v/>
      </c>
      <c r="D18" s="5">
        <f>D11/D4</f>
        <v/>
      </c>
      <c r="E18" s="5">
        <f>E11/E4</f>
        <v/>
      </c>
      <c r="F18" s="5">
        <f>F11/F4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SEGMENT MODEL — Q2 build → FY26E–29E (all formulas from 01_Inputs)</t>
        </is>
      </c>
    </row>
    <row r="2">
      <c r="A2" t="inlineStr">
        <is>
          <t>Edit growth rates &amp; margins on 01_Inputs rows 88–92 and seeds rows 96–100.</t>
        </is>
      </c>
    </row>
    <row r="4">
      <c r="A4" s="7" t="inlineStr"/>
      <c r="B4" s="7" t="inlineStr">
        <is>
          <t>FY26E</t>
        </is>
      </c>
      <c r="C4" s="7" t="inlineStr">
        <is>
          <t>FY27E</t>
        </is>
      </c>
      <c r="D4" s="7" t="inlineStr">
        <is>
          <t>FY28E</t>
        </is>
      </c>
      <c r="E4" s="7" t="inlineStr">
        <is>
          <t>FY29E</t>
        </is>
      </c>
    </row>
    <row r="5">
      <c r="A5" s="19" t="inlineStr">
        <is>
          <t>Owned Secure Revenue $M</t>
        </is>
      </c>
      <c r="B5" s="5">
        <f>01_Inputs!E96</f>
        <v/>
      </c>
      <c r="C5" s="5">
        <f>B5*(1+01_Inputs!B88)</f>
        <v/>
      </c>
      <c r="D5" s="5">
        <f>C5*(1+01_Inputs!C88)</f>
        <v/>
      </c>
      <c r="E5" s="5">
        <f>D5*(1+01_Inputs!D88)</f>
        <v/>
      </c>
    </row>
    <row r="6">
      <c r="A6" t="inlineStr">
        <is>
          <t>Owned Secure NOI margin</t>
        </is>
      </c>
      <c r="B6" s="18">
        <f>01_Inputs!E88</f>
        <v/>
      </c>
      <c r="C6" s="18">
        <f>01_Inputs!F88</f>
        <v/>
      </c>
      <c r="D6" s="18">
        <f>01_Inputs!G88</f>
        <v/>
      </c>
      <c r="E6" s="18">
        <f>01_Inputs!H88</f>
        <v/>
      </c>
    </row>
    <row r="7">
      <c r="A7" s="19" t="inlineStr">
        <is>
          <t>Owned Secure NOI $M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</row>
    <row r="9">
      <c r="A9" s="19" t="inlineStr">
        <is>
          <t>Owned Reentry Revenue $M</t>
        </is>
      </c>
      <c r="B9" s="5">
        <f>01_Inputs!E97</f>
        <v/>
      </c>
      <c r="C9" s="5">
        <f>B9*(1+01_Inputs!B89)</f>
        <v/>
      </c>
      <c r="D9" s="5">
        <f>C9*(1+01_Inputs!C89)</f>
        <v/>
      </c>
      <c r="E9" s="5">
        <f>D9*(1+01_Inputs!D89)</f>
        <v/>
      </c>
    </row>
    <row r="10">
      <c r="A10" t="inlineStr">
        <is>
          <t>Owned Reentry NOI margin</t>
        </is>
      </c>
      <c r="B10" s="18">
        <f>01_Inputs!E89</f>
        <v/>
      </c>
      <c r="C10" s="18">
        <f>01_Inputs!F89</f>
        <v/>
      </c>
      <c r="D10" s="18">
        <f>01_Inputs!G89</f>
        <v/>
      </c>
      <c r="E10" s="18">
        <f>01_Inputs!H89</f>
        <v/>
      </c>
    </row>
    <row r="11">
      <c r="A11" s="19" t="inlineStr">
        <is>
          <t>Owned Reentry NOI $M</t>
        </is>
      </c>
      <c r="B11" s="11">
        <f>B9*B10</f>
        <v/>
      </c>
      <c r="C11" s="11">
        <f>C9*C10</f>
        <v/>
      </c>
      <c r="D11" s="11">
        <f>D9*D10</f>
        <v/>
      </c>
      <c r="E11" s="11">
        <f>E9*E10</f>
        <v/>
      </c>
    </row>
    <row r="13">
      <c r="A13" s="19" t="inlineStr">
        <is>
          <t>Managed Only Revenue $M</t>
        </is>
      </c>
      <c r="B13" s="5">
        <f>01_Inputs!E98</f>
        <v/>
      </c>
      <c r="C13" s="5">
        <f>B13*(1+01_Inputs!B90)</f>
        <v/>
      </c>
      <c r="D13" s="5">
        <f>C13*(1+01_Inputs!C90)</f>
        <v/>
      </c>
      <c r="E13" s="5">
        <f>D13*(1+01_Inputs!D90)</f>
        <v/>
      </c>
    </row>
    <row r="14">
      <c r="A14" t="inlineStr">
        <is>
          <t>Managed Only NOI margin</t>
        </is>
      </c>
      <c r="B14" s="18">
        <f>01_Inputs!E90</f>
        <v/>
      </c>
      <c r="C14" s="18">
        <f>01_Inputs!F90</f>
        <v/>
      </c>
      <c r="D14" s="18">
        <f>01_Inputs!G90</f>
        <v/>
      </c>
      <c r="E14" s="18">
        <f>01_Inputs!H90</f>
        <v/>
      </c>
    </row>
    <row r="15">
      <c r="A15" s="19" t="inlineStr">
        <is>
          <t>Managed Only NOI $M</t>
        </is>
      </c>
      <c r="B15" s="11">
        <f>B13*B14</f>
        <v/>
      </c>
      <c r="C15" s="11">
        <f>C13*C14</f>
        <v/>
      </c>
      <c r="D15" s="11">
        <f>D13*D14</f>
        <v/>
      </c>
      <c r="E15" s="11">
        <f>E13*E14</f>
        <v/>
      </c>
    </row>
    <row r="17">
      <c r="A17" s="19" t="inlineStr">
        <is>
          <t>EM Revenue $M</t>
        </is>
      </c>
      <c r="B17" s="5">
        <f>01_Inputs!E99</f>
        <v/>
      </c>
      <c r="C17" s="5">
        <f>B17*(1+01_Inputs!B91)</f>
        <v/>
      </c>
      <c r="D17" s="5">
        <f>C17*(1+01_Inputs!C91)</f>
        <v/>
      </c>
      <c r="E17" s="5">
        <f>D17*(1+01_Inputs!D91)</f>
        <v/>
      </c>
    </row>
    <row r="18">
      <c r="A18" t="inlineStr">
        <is>
          <t>EM NOI margin</t>
        </is>
      </c>
      <c r="B18" s="18">
        <f>01_Inputs!E91</f>
        <v/>
      </c>
      <c r="C18" s="18">
        <f>01_Inputs!F91</f>
        <v/>
      </c>
      <c r="D18" s="18">
        <f>01_Inputs!G91</f>
        <v/>
      </c>
      <c r="E18" s="18">
        <f>01_Inputs!H91</f>
        <v/>
      </c>
    </row>
    <row r="19">
      <c r="A19" s="19" t="inlineStr">
        <is>
          <t>EM NOI $M</t>
        </is>
      </c>
      <c r="B19" s="11">
        <f>B17*B18</f>
        <v/>
      </c>
      <c r="C19" s="11">
        <f>C17*C18</f>
        <v/>
      </c>
      <c r="D19" s="11">
        <f>D17*D18</f>
        <v/>
      </c>
      <c r="E19" s="11">
        <f>E17*E18</f>
        <v/>
      </c>
    </row>
    <row r="21">
      <c r="A21" s="19" t="inlineStr">
        <is>
          <t>NonRes Revenue $M</t>
        </is>
      </c>
      <c r="B21" s="5">
        <f>01_Inputs!E100</f>
        <v/>
      </c>
      <c r="C21" s="5">
        <f>B21*(1+01_Inputs!B92)</f>
        <v/>
      </c>
      <c r="D21" s="5">
        <f>C21*(1+01_Inputs!C92)</f>
        <v/>
      </c>
      <c r="E21" s="5">
        <f>D21*(1+01_Inputs!D92)</f>
        <v/>
      </c>
    </row>
    <row r="22">
      <c r="A22" t="inlineStr">
        <is>
          <t>NonRes NOI margin</t>
        </is>
      </c>
      <c r="B22" s="18">
        <f>01_Inputs!E92</f>
        <v/>
      </c>
      <c r="C22" s="18">
        <f>01_Inputs!F92</f>
        <v/>
      </c>
      <c r="D22" s="18">
        <f>01_Inputs!G92</f>
        <v/>
      </c>
      <c r="E22" s="18">
        <f>01_Inputs!H92</f>
        <v/>
      </c>
    </row>
    <row r="23">
      <c r="A23" s="19" t="inlineStr">
        <is>
          <t>NonRes NOI $M</t>
        </is>
      </c>
      <c r="B23" s="11">
        <f>B21*B22</f>
        <v/>
      </c>
      <c r="C23" s="11">
        <f>C21*C22</f>
        <v/>
      </c>
      <c r="D23" s="11">
        <f>D21*D22</f>
        <v/>
      </c>
      <c r="E23" s="11">
        <f>E21*E22</f>
        <v/>
      </c>
    </row>
    <row r="25">
      <c r="A25" s="19" t="inlineStr">
        <is>
          <t>TOTAL Segment Rev $M</t>
        </is>
      </c>
      <c r="B25" s="5">
        <f>B5+B9+B13+B17+B21</f>
        <v/>
      </c>
      <c r="C25" s="5">
        <f>C5+C9+C13+C17+C21</f>
        <v/>
      </c>
      <c r="D25" s="5">
        <f>D5+D9+D13+D17+D21</f>
        <v/>
      </c>
      <c r="E25" s="5">
        <f>E5+E9+E13+E17+E21</f>
        <v/>
      </c>
    </row>
    <row r="26">
      <c r="A26" s="19" t="inlineStr">
        <is>
          <t>TOTAL Segment NOI $M</t>
        </is>
      </c>
      <c r="B26" s="11">
        <f>B7+B11+B15+B19+B23</f>
        <v/>
      </c>
      <c r="C26" s="11">
        <f>C7+C11+C15+C19+C23</f>
        <v/>
      </c>
      <c r="D26" s="11">
        <f>D7+D11+D15+D19+D23</f>
        <v/>
      </c>
      <c r="E26" s="11">
        <f>E7+E11+E15+E19+E23</f>
        <v/>
      </c>
    </row>
    <row r="28">
      <c r="A28" t="inlineStr">
        <is>
          <t>G&amp;A $M</t>
        </is>
      </c>
      <c r="B28" s="5">
        <f>01_Inputs!B83</f>
        <v/>
      </c>
      <c r="C28" s="5">
        <f>B28*(1+01_Inputs!B84)</f>
        <v/>
      </c>
      <c r="D28" s="5">
        <f>C28*(1+01_Inputs!B84)</f>
        <v/>
      </c>
      <c r="E28" s="5">
        <f>D28*(1+01_Inputs!B84)</f>
        <v/>
      </c>
    </row>
    <row r="29">
      <c r="A29" s="19" t="inlineStr">
        <is>
          <t>NOI − G&amp;A (proxy op. profit)</t>
        </is>
      </c>
      <c r="B29" s="5">
        <f>B26-B28</f>
        <v/>
      </c>
      <c r="C29" s="5">
        <f>C26-C28</f>
        <v/>
      </c>
      <c r="D29" s="5">
        <f>D26-D28</f>
        <v/>
      </c>
      <c r="E29" s="5">
        <f>E26-E28</f>
        <v/>
      </c>
    </row>
    <row r="30">
      <c r="A30" t="inlineStr">
        <is>
          <t>Adj EBITDA bridge (scale to guide yr1)</t>
        </is>
      </c>
      <c r="B30" s="11">
        <f>01_Inputs!B71</f>
        <v/>
      </c>
      <c r="C30" s="11">
        <f>B30*(C29/B29)</f>
        <v/>
      </c>
      <c r="D30" s="11">
        <f>C30*(D29/C29)</f>
        <v/>
      </c>
      <c r="E30" s="11">
        <f>D30*(E29/D29)</f>
        <v/>
      </c>
    </row>
    <row r="32">
      <c r="A32" s="3" t="inlineStr">
        <is>
          <t>SEGMENT MULTIPLES VALUATION (applied to FY26E NOI unless noted)</t>
        </is>
      </c>
    </row>
    <row r="33">
      <c r="A33" s="2" t="inlineStr">
        <is>
          <t>Uses 01_Inputs!B105:D110 multiples. WARNING: Owned Secure multiple DOUBLE-COUNTS if you also add full RE NAV — pick one approach in 07_SOTP.</t>
        </is>
      </c>
    </row>
    <row r="34">
      <c r="A34" s="7" t="inlineStr">
        <is>
          <t>Segment</t>
        </is>
      </c>
      <c r="B34" s="7" t="inlineStr">
        <is>
          <t>FY26E NOI</t>
        </is>
      </c>
      <c r="C34" s="7" t="inlineStr">
        <is>
          <t>Base multiple</t>
        </is>
      </c>
      <c r="D34" s="7" t="inlineStr">
        <is>
          <t>EV base</t>
        </is>
      </c>
      <c r="E34" s="7" t="inlineStr">
        <is>
          <t>Bull EV</t>
        </is>
      </c>
      <c r="F34" s="7" t="inlineStr">
        <is>
          <t>Bear EV</t>
        </is>
      </c>
      <c r="G34" s="7" t="inlineStr">
        <is>
          <t>% of Base EV</t>
        </is>
      </c>
    </row>
    <row r="35">
      <c r="A35" t="inlineStr">
        <is>
          <t>Owned Secure</t>
        </is>
      </c>
      <c r="B35" s="5">
        <f>B7</f>
        <v/>
      </c>
      <c r="C35" s="5">
        <f>01_Inputs!C105</f>
        <v/>
      </c>
      <c r="D35" s="5">
        <f>B35*C35</f>
        <v/>
      </c>
      <c r="E35" s="5">
        <f>B35*01_Inputs!B105</f>
        <v/>
      </c>
      <c r="F35" s="5">
        <f>B35*01_Inputs!D105</f>
        <v/>
      </c>
      <c r="G35" s="18">
        <f>D35/D$41</f>
        <v/>
      </c>
    </row>
    <row r="36">
      <c r="A36" t="inlineStr">
        <is>
          <t>Owned Reentry</t>
        </is>
      </c>
      <c r="B36" s="5">
        <f>B11</f>
        <v/>
      </c>
      <c r="C36" s="5">
        <f>01_Inputs!C106</f>
        <v/>
      </c>
      <c r="D36" s="5">
        <f>B36*C36</f>
        <v/>
      </c>
      <c r="E36" s="5">
        <f>B36*01_Inputs!B106</f>
        <v/>
      </c>
      <c r="F36" s="5">
        <f>B36*01_Inputs!D106</f>
        <v/>
      </c>
      <c r="G36" s="18">
        <f>D36/D$41</f>
        <v/>
      </c>
    </row>
    <row r="37">
      <c r="A37" t="inlineStr">
        <is>
          <t>Managed Only</t>
        </is>
      </c>
      <c r="B37" s="5">
        <f>B15</f>
        <v/>
      </c>
      <c r="C37" s="5">
        <f>01_Inputs!C107</f>
        <v/>
      </c>
      <c r="D37" s="5">
        <f>B37*C37</f>
        <v/>
      </c>
      <c r="E37" s="5">
        <f>B37*01_Inputs!B107</f>
        <v/>
      </c>
      <c r="F37" s="5">
        <f>B37*01_Inputs!D107</f>
        <v/>
      </c>
      <c r="G37" s="18">
        <f>D37/D$41</f>
        <v/>
      </c>
    </row>
    <row r="38">
      <c r="A38" t="inlineStr">
        <is>
          <t>EM</t>
        </is>
      </c>
      <c r="B38" s="5">
        <f>B19</f>
        <v/>
      </c>
      <c r="C38" s="5">
        <f>01_Inputs!C108</f>
        <v/>
      </c>
      <c r="D38" s="5">
        <f>B38*C38</f>
        <v/>
      </c>
      <c r="E38" s="5">
        <f>B38*01_Inputs!B108</f>
        <v/>
      </c>
      <c r="F38" s="5">
        <f>B38*01_Inputs!D108</f>
        <v/>
      </c>
      <c r="G38" s="18">
        <f>D38/D$41</f>
        <v/>
      </c>
    </row>
    <row r="39">
      <c r="A39" t="inlineStr">
        <is>
          <t>NonRes</t>
        </is>
      </c>
      <c r="B39" s="5">
        <f>B23</f>
        <v/>
      </c>
      <c r="C39" s="5">
        <f>01_Inputs!C109</f>
        <v/>
      </c>
      <c r="D39" s="5">
        <f>B39*C39</f>
        <v/>
      </c>
      <c r="E39" s="5">
        <f>B39*01_Inputs!B109</f>
        <v/>
      </c>
      <c r="F39" s="5">
        <f>B39*01_Inputs!D109</f>
        <v/>
      </c>
      <c r="G39" s="18">
        <f>D39/D$41</f>
        <v/>
      </c>
    </row>
    <row r="40">
      <c r="A40" t="inlineStr">
        <is>
          <t>Less: G&amp;A capitalized</t>
        </is>
      </c>
      <c r="B40" s="5">
        <f>-B28</f>
        <v/>
      </c>
      <c r="C40" s="5">
        <f>01_Inputs!C110</f>
        <v/>
      </c>
      <c r="D40" s="5">
        <f>B40*C40</f>
        <v/>
      </c>
      <c r="E40" s="5">
        <f>B40*01_Inputs!B110</f>
        <v/>
      </c>
      <c r="F40" s="5">
        <f>B40*01_Inputs!D110</f>
        <v/>
      </c>
      <c r="G40" s="18">
        <f>D40/D$41</f>
        <v/>
      </c>
    </row>
    <row r="41">
      <c r="A41" s="19" t="inlineStr">
        <is>
          <t>TOTAL Ops EV (segment sum)</t>
        </is>
      </c>
      <c r="D41" s="11">
        <f>SUM(D35:D40)</f>
        <v/>
      </c>
      <c r="E41" s="11">
        <f>SUM(E35:E40)</f>
        <v/>
      </c>
      <c r="F41" s="11">
        <f>SUM(F35:F40)</f>
        <v/>
      </c>
    </row>
    <row r="43">
      <c r="A43" t="inlineStr">
        <is>
          <t>+ Cash</t>
        </is>
      </c>
      <c r="D43" s="5">
        <f>01_Inputs!B16</f>
        <v/>
      </c>
    </row>
    <row r="44">
      <c r="A44" t="inlineStr">
        <is>
          <t>− Gross debt</t>
        </is>
      </c>
      <c r="D44" s="5">
        <f>-01_Inputs!B17</f>
        <v/>
      </c>
    </row>
    <row r="45">
      <c r="A45" s="19" t="inlineStr">
        <is>
          <t>Equity value (segment multiples)</t>
        </is>
      </c>
      <c r="D45" s="11">
        <f>D41+D43+D44</f>
        <v/>
      </c>
    </row>
    <row r="46">
      <c r="A46" t="inlineStr">
        <is>
          <t>$/sh (segment multiples base)</t>
        </is>
      </c>
      <c r="D46" s="6">
        <f>D45/01_Inputs!B7</f>
        <v/>
      </c>
    </row>
    <row r="47">
      <c r="A47" t="inlineStr">
        <is>
          <t>$/sh bull / bear</t>
        </is>
      </c>
      <c r="E47" s="4">
        <f>(E41+01_Inputs!B16-01_Inputs!B17)/01_Inputs!B7</f>
        <v/>
      </c>
      <c r="F47" s="4">
        <f>(F41+01_Inputs!B16-01_Inputs!B17)/01_Inputs!B7</f>
        <v/>
      </c>
    </row>
    <row r="49">
      <c r="A49" s="3" t="inlineStr">
        <is>
          <t>UNIT ECONOMICS (from Q2 seeds / RP beds)</t>
        </is>
      </c>
    </row>
    <row r="50">
      <c r="A50" t="inlineStr">
        <is>
          <t>Owned Secure rev $/RP-bed</t>
        </is>
      </c>
      <c r="B50" s="20">
        <f>01_Inputs!B96*1000/01_Inputs!B51</f>
        <v/>
      </c>
    </row>
    <row r="51">
      <c r="A51" t="inlineStr">
        <is>
          <t>Owned Secure NOI $/RP-bed</t>
        </is>
      </c>
      <c r="B51" s="20">
        <f>01_Inputs!C96*1000/01_Inputs!B51</f>
        <v/>
      </c>
    </row>
    <row r="52">
      <c r="A52" t="inlineStr">
        <is>
          <t>Managed Only rev $/RP-bed</t>
        </is>
      </c>
      <c r="B52" s="20">
        <f>01_Inputs!B98*1000/22652</f>
        <v/>
      </c>
    </row>
    <row r="53">
      <c r="A53" t="inlineStr">
        <is>
          <t>Ownership premium $/bed (NOI)</t>
        </is>
      </c>
      <c r="B53" s="20">
        <f>01_Inputs!B64</f>
        <v/>
      </c>
    </row>
    <row r="55">
      <c r="A55" s="3" t="inlineStr">
        <is>
          <t>SEGMENT MULTIPLES — HOW TO USE</t>
        </is>
      </c>
    </row>
    <row r="56">
      <c r="A56" t="inlineStr">
        <is>
          <t>1) Edit Bull/Base/Bear multiples on 01_Inputs rows 105–110</t>
        </is>
      </c>
    </row>
    <row r="57">
      <c r="A57" t="inlineStr">
        <is>
          <t>2) Green $/sh at bottom of this sheet = Approach A on 07_SOTP</t>
        </is>
      </c>
    </row>
    <row r="58">
      <c r="A58" s="2" t="inlineStr">
        <is>
          <t>3) If using Approach B/C (RE NAV), do NOT also count Owned Secure at a full ops multiple — set Owned Secure base multiple to ~0–2x (management fee only) on 01_Inputs</t>
        </is>
      </c>
    </row>
    <row r="59">
      <c r="A59" t="inlineStr">
        <is>
          <t>4) EM at 10x NOI is intentional (high margin, capital light). Stress with bear 7x.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CONSOLIDATED P&amp;L FORWARD ($M) — formulas from Segments + Inputs</t>
        </is>
      </c>
    </row>
    <row r="3">
      <c r="A3" s="7" t="n"/>
      <c r="B3" s="7" t="inlineStr">
        <is>
          <t>FY26E</t>
        </is>
      </c>
      <c r="C3" s="7" t="inlineStr">
        <is>
          <t>FY27E</t>
        </is>
      </c>
      <c r="D3" s="7" t="inlineStr">
        <is>
          <t>FY28E</t>
        </is>
      </c>
      <c r="E3" s="7" t="inlineStr">
        <is>
          <t>FY29E</t>
        </is>
      </c>
    </row>
    <row r="4">
      <c r="A4" t="inlineStr">
        <is>
          <t>Revenue</t>
        </is>
      </c>
      <c r="B4" s="5">
        <f>03_Segments!B25</f>
        <v/>
      </c>
      <c r="C4" s="5">
        <f>03_Segments!C25</f>
        <v/>
      </c>
      <c r="D4" s="5">
        <f>03_Segments!D25</f>
        <v/>
      </c>
      <c r="E4" s="5">
        <f>03_Segments!E25</f>
        <v/>
      </c>
    </row>
    <row r="5">
      <c r="A5" t="inlineStr">
        <is>
          <t>YoY growth</t>
        </is>
      </c>
      <c r="C5" s="18">
        <f>C4/B4-1</f>
        <v/>
      </c>
      <c r="D5" s="18">
        <f>D4/C4-1</f>
        <v/>
      </c>
      <c r="E5" s="18">
        <f>E4/D4-1</f>
        <v/>
      </c>
    </row>
    <row r="6">
      <c r="A6" t="inlineStr">
        <is>
          <t>Adj EBITDA</t>
        </is>
      </c>
      <c r="B6" s="11">
        <f>03_Segments!B30</f>
        <v/>
      </c>
      <c r="C6" s="11">
        <f>03_Segments!C30</f>
        <v/>
      </c>
      <c r="D6" s="11">
        <f>03_Segments!D30</f>
        <v/>
      </c>
      <c r="E6" s="11">
        <f>03_Segments!E30</f>
        <v/>
      </c>
    </row>
    <row r="7">
      <c r="A7" t="inlineStr">
        <is>
          <t>EBITDA margin</t>
        </is>
      </c>
      <c r="B7" s="18">
        <f>B6/B4</f>
        <v/>
      </c>
      <c r="C7" s="18">
        <f>C6/C4</f>
        <v/>
      </c>
      <c r="D7" s="18">
        <f>D6/D4</f>
        <v/>
      </c>
      <c r="E7" s="18">
        <f>E6/E4</f>
        <v/>
      </c>
    </row>
    <row r="8">
      <c r="A8" t="inlineStr">
        <is>
          <t>D&amp;A</t>
        </is>
      </c>
      <c r="B8" s="9" t="n">
        <v>139</v>
      </c>
      <c r="C8" s="5">
        <f>B8*1.02</f>
        <v/>
      </c>
      <c r="D8" s="5">
        <f>C8*1.02</f>
        <v/>
      </c>
      <c r="E8" s="5">
        <f>D8*0.95</f>
        <v/>
      </c>
    </row>
    <row r="9">
      <c r="A9" t="inlineStr">
        <is>
          <t>EBIT (EBITDA − D&amp;A)</t>
        </is>
      </c>
      <c r="B9" s="5">
        <f>B6-B8</f>
        <v/>
      </c>
      <c r="C9" s="5">
        <f>C6-C8</f>
        <v/>
      </c>
      <c r="D9" s="5">
        <f>D6-D8</f>
        <v/>
      </c>
      <c r="E9" s="5">
        <f>E6-E8</f>
        <v/>
      </c>
    </row>
    <row r="10">
      <c r="A10" t="inlineStr">
        <is>
          <t>Net interest</t>
        </is>
      </c>
      <c r="B10" s="5">
        <f>01_Inputs!B75</f>
        <v/>
      </c>
      <c r="C10" s="5">
        <f>B10*0.90</f>
        <v/>
      </c>
      <c r="D10" s="5">
        <f>C10*0.95</f>
        <v/>
      </c>
      <c r="E10" s="5">
        <f>D10*1.05</f>
        <v/>
      </c>
    </row>
    <row r="11">
      <c r="A11" t="inlineStr">
        <is>
          <t>EBT</t>
        </is>
      </c>
      <c r="B11" s="5">
        <f>B9-B10</f>
        <v/>
      </c>
      <c r="C11" s="5">
        <f>C9-C10</f>
        <v/>
      </c>
      <c r="D11" s="5">
        <f>D9-D10</f>
        <v/>
      </c>
      <c r="E11" s="5">
        <f>E9-E10</f>
        <v/>
      </c>
    </row>
    <row r="12">
      <c r="A12" t="inlineStr">
        <is>
          <t>ETR</t>
        </is>
      </c>
      <c r="B12" s="18">
        <f>01_Inputs!B30</f>
        <v/>
      </c>
      <c r="C12" s="18">
        <f>01_Inputs!B30</f>
        <v/>
      </c>
      <c r="D12" s="18">
        <f>01_Inputs!B30</f>
        <v/>
      </c>
      <c r="E12" s="18">
        <f>01_Inputs!B30</f>
        <v/>
      </c>
    </row>
    <row r="13">
      <c r="A13" t="inlineStr">
        <is>
          <t>Net income (ops, ex RE gains)</t>
        </is>
      </c>
      <c r="B13" s="11">
        <f>B11*(1-B12)</f>
        <v/>
      </c>
      <c r="C13" s="11">
        <f>C11*(1-C12)</f>
        <v/>
      </c>
      <c r="D13" s="11">
        <f>D11*(1-D12)</f>
        <v/>
      </c>
      <c r="E13" s="11">
        <f>E11*(1-E12)</f>
        <v/>
      </c>
    </row>
    <row r="14">
      <c r="A14" t="inlineStr">
        <is>
          <t>Diluted shares M</t>
        </is>
      </c>
      <c r="B14" s="5">
        <f>01_Inputs!B8</f>
        <v/>
      </c>
      <c r="C14" s="9" t="n">
        <v>128</v>
      </c>
      <c r="D14" s="9" t="n">
        <v>125</v>
      </c>
      <c r="E14" s="9" t="n">
        <v>122</v>
      </c>
    </row>
    <row r="15">
      <c r="A15" t="inlineStr">
        <is>
          <t>EPS (ops)</t>
        </is>
      </c>
      <c r="B15" s="6">
        <f>B13/B14</f>
        <v/>
      </c>
      <c r="C15" s="6">
        <f>C13/C14</f>
        <v/>
      </c>
      <c r="D15" s="6">
        <f>D13/D14</f>
        <v/>
      </c>
      <c r="E15" s="6">
        <f>E13/E14</f>
        <v/>
      </c>
    </row>
    <row r="16">
      <c r="A16" t="inlineStr">
        <is>
          <t>P/E at current price</t>
        </is>
      </c>
      <c r="B16" s="5">
        <f>01_Inputs!B6/B15</f>
        <v/>
      </c>
      <c r="C16" s="5">
        <f>01_Inputs!B6/C15</f>
        <v/>
      </c>
      <c r="D16" s="5">
        <f>01_Inputs!B6/D15</f>
        <v/>
      </c>
      <c r="E16" s="5">
        <f>01_Inputs!B6/E15</f>
        <v/>
      </c>
    </row>
    <row r="17">
      <c r="A17" t="inlineStr">
        <is>
          <t>Price at target mid-cycle P/E</t>
        </is>
      </c>
      <c r="B17" s="4">
        <f>B15*01_Inputs!B117</f>
        <v/>
      </c>
      <c r="C17" s="4">
        <f>C15*01_Inputs!B117</f>
        <v/>
      </c>
      <c r="D17" s="4">
        <f>D15*01_Inputs!B117</f>
        <v/>
      </c>
      <c r="E17" s="4">
        <f>E15*01_Inputs!B117</f>
        <v/>
      </c>
    </row>
    <row r="18">
      <c r="A18" t="inlineStr">
        <is>
          <t>CapEx</t>
        </is>
      </c>
      <c r="B18" s="5">
        <f>01_Inputs!B76</f>
        <v/>
      </c>
      <c r="C18" s="9" t="n">
        <v>95</v>
      </c>
      <c r="D18" s="9" t="n">
        <v>90</v>
      </c>
      <c r="E18" s="9" t="n">
        <v>85</v>
      </c>
    </row>
    <row r="19">
      <c r="A19" t="inlineStr">
        <is>
          <t>FCF proxy (EBITDA − cash int − tax on EBT − CapEx)</t>
        </is>
      </c>
      <c r="B19" s="11">
        <f>B6-B10-B11*B12-B18</f>
        <v/>
      </c>
      <c r="C19" s="11">
        <f>C6-C10-C11*C12-C18</f>
        <v/>
      </c>
      <c r="D19" s="11">
        <f>D6-D10-D11*D12-D18</f>
        <v/>
      </c>
      <c r="E19" s="11">
        <f>E6-E10-E11*E12-E18</f>
        <v/>
      </c>
    </row>
    <row r="21">
      <c r="A21" s="2" t="inlineStr">
        <is>
          <t>Note: RE sale gains are modeled on 06_RE_NAV / 07_SOTP, not in ops NI above.</t>
        </is>
      </c>
    </row>
    <row r="23">
      <c r="A23" s="3" t="inlineStr">
        <is>
          <t>EDITABLE INTEREST / D&amp;A PATHS (blue)</t>
        </is>
      </c>
    </row>
    <row r="24">
      <c r="A24" t="inlineStr">
        <is>
          <t>Interest 2027–29 currently = prior × factor. Overwrite C10:E10 with hard values if modeling a large debt paydown from RE sale.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BALANCE SHEET / CASH BRIDGE ($M)</t>
        </is>
      </c>
    </row>
    <row r="3">
      <c r="A3" s="7" t="n"/>
      <c r="B3" s="7" t="inlineStr">
        <is>
          <t>6/30/26A</t>
        </is>
      </c>
      <c r="C3" s="7" t="inlineStr">
        <is>
          <t>FY26E</t>
        </is>
      </c>
      <c r="D3" s="7" t="inlineStr">
        <is>
          <t>FY27E</t>
        </is>
      </c>
      <c r="E3" s="7" t="inlineStr">
        <is>
          <t>FY28E</t>
        </is>
      </c>
      <c r="F3" s="7" t="inlineStr">
        <is>
          <t>FY29E</t>
        </is>
      </c>
    </row>
    <row r="4">
      <c r="A4" t="inlineStr">
        <is>
          <t>Cash</t>
        </is>
      </c>
      <c r="B4" s="5">
        <f>01_Inputs!B16</f>
        <v/>
      </c>
      <c r="C4" s="9" t="n">
        <v>80</v>
      </c>
      <c r="D4" s="9" t="n">
        <v>200</v>
      </c>
      <c r="E4" s="9" t="n">
        <v>250</v>
      </c>
      <c r="F4" s="9" t="n">
        <v>200</v>
      </c>
    </row>
    <row r="5">
      <c r="A5" t="inlineStr">
        <is>
          <t>Gross debt</t>
        </is>
      </c>
      <c r="B5" s="5">
        <f>01_Inputs!B17</f>
        <v/>
      </c>
      <c r="C5" s="9" t="n">
        <v>1480</v>
      </c>
      <c r="D5" s="9" t="n">
        <v>1100</v>
      </c>
      <c r="E5" s="9" t="n">
        <v>1000</v>
      </c>
      <c r="F5" s="9" t="n">
        <v>1050</v>
      </c>
    </row>
    <row r="6">
      <c r="A6" s="19" t="inlineStr">
        <is>
          <t>Net debt</t>
        </is>
      </c>
      <c r="B6" s="11">
        <f>B5-B4</f>
        <v/>
      </c>
      <c r="C6" s="11">
        <f>C5-C4</f>
        <v/>
      </c>
      <c r="D6" s="11">
        <f>D5-D4</f>
        <v/>
      </c>
      <c r="E6" s="11">
        <f>E5-E4</f>
        <v/>
      </c>
      <c r="F6" s="11">
        <f>F5-F4</f>
        <v/>
      </c>
    </row>
    <row r="7">
      <c r="A7" t="inlineStr">
        <is>
          <t>Net leverage (x FY EBITDA)</t>
        </is>
      </c>
      <c r="B7" s="5">
        <f>B6/01_Inputs!B71</f>
        <v/>
      </c>
      <c r="C7" s="5">
        <f>C6/'04_IS_Fwd'!B6</f>
        <v/>
      </c>
      <c r="D7" s="5">
        <f>D6/'04_IS_Fwd'!C6</f>
        <v/>
      </c>
      <c r="E7" s="5">
        <f>E6/'04_IS_Fwd'!D6</f>
        <v/>
      </c>
      <c r="F7" s="5">
        <f>F6/'04_IS_Fwd'!E6</f>
        <v/>
      </c>
    </row>
    <row r="8">
      <c r="A8" t="inlineStr">
        <is>
          <t>Equity book</t>
        </is>
      </c>
      <c r="B8" s="5">
        <f>01_Inputs!B20</f>
        <v/>
      </c>
      <c r="C8" s="9" t="n">
        <v>1600</v>
      </c>
      <c r="D8" s="9" t="n">
        <v>1900</v>
      </c>
      <c r="E8" s="9" t="n">
        <v>2100</v>
      </c>
      <c r="F8" s="9" t="n">
        <v>2200</v>
      </c>
    </row>
    <row r="10">
      <c r="A10" t="inlineStr">
        <is>
          <t>Cash in equity bridge check</t>
        </is>
      </c>
      <c r="B10" s="5">
        <f>01_Inputs!B16</f>
        <v/>
      </c>
    </row>
    <row r="11">
      <c r="A11" t="inlineStr">
        <is>
          <t>Mkt cap</t>
        </is>
      </c>
      <c r="B11" s="5">
        <f>01_Inputs!B11</f>
        <v/>
      </c>
    </row>
    <row r="12">
      <c r="A12" t="inlineStr">
        <is>
          <t>EV = mkt + net debt</t>
        </is>
      </c>
      <c r="B12" s="5">
        <f>01_Inputs!B23</f>
        <v/>
      </c>
    </row>
    <row r="13">
      <c r="A13" t="inlineStr">
        <is>
          <t>EV = mkt + gross debt − cash (same)</t>
        </is>
      </c>
      <c r="B13" s="5">
        <f>B11+B5-B4</f>
        <v/>
      </c>
    </row>
    <row r="15">
      <c r="A15" s="2" t="inlineStr">
        <is>
          <t>Edit blue cash/debt paths for each scenario manually, or link to sale proceeds from 06_RE_NAV.</t>
        </is>
      </c>
    </row>
    <row r="17">
      <c r="A17" s="3" t="inlineStr">
        <is>
          <t>FCF from IS (FY26E–29E)</t>
        </is>
      </c>
    </row>
    <row r="18">
      <c r="A18" t="inlineStr">
        <is>
          <t>FCF proxy</t>
        </is>
      </c>
      <c r="C18" s="26">
        <f>'04_IS_Fwd'!B19</f>
        <v/>
      </c>
      <c r="D18" s="26">
        <f>'04_IS_Fwd'!C19</f>
        <v/>
      </c>
      <c r="E18" s="26">
        <f>'04_IS_Fwd'!D19</f>
        <v/>
      </c>
      <c r="F18" s="26">
        <f>'04_IS_Fwd'!E19</f>
        <v/>
      </c>
    </row>
    <row r="19">
      <c r="A19" t="inlineStr">
        <is>
          <t>Memo: starting cash + cumulative FCF − debt pay − buybacks should reconcile to cash path (edit blue cash/debt to match scenario).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REAL ESTATE NAV — formula-driven</t>
        </is>
      </c>
    </row>
    <row r="3">
      <c r="A3" s="7" t="inlineStr">
        <is>
          <t>Bucket</t>
        </is>
      </c>
      <c r="B3" s="7" t="inlineStr">
        <is>
          <t>Beds</t>
        </is>
      </c>
      <c r="C3" s="7" t="inlineStr">
        <is>
          <t>$/bed</t>
        </is>
      </c>
      <c r="D3" s="7" t="inlineStr">
        <is>
          <t>Gross $M</t>
        </is>
      </c>
      <c r="E3" s="7" t="inlineStr">
        <is>
          <t>Net $M</t>
        </is>
      </c>
      <c r="F3" s="7" t="inlineStr">
        <is>
          <t>Net $/sh</t>
        </is>
      </c>
    </row>
    <row r="4">
      <c r="A4" t="inlineStr">
        <is>
          <t>ICE + dual</t>
        </is>
      </c>
      <c r="B4" s="21">
        <f>01_Inputs!B40</f>
        <v/>
      </c>
      <c r="C4" s="20">
        <f>01_Inputs!B55</f>
        <v/>
      </c>
      <c r="D4" s="5">
        <f>B4*C4/1000000</f>
        <v/>
      </c>
      <c r="E4" s="5">
        <f>D4*01_Inputs!B33</f>
        <v/>
      </c>
      <c r="F4" s="4">
        <f>E4/01_Inputs!B7</f>
        <v/>
      </c>
    </row>
    <row r="5">
      <c r="A5" t="inlineStr">
        <is>
          <t>Other owned secure</t>
        </is>
      </c>
      <c r="B5" s="21">
        <f>01_Inputs!B44</f>
        <v/>
      </c>
      <c r="C5" s="20">
        <f>01_Inputs!B56</f>
        <v/>
      </c>
      <c r="D5" s="5">
        <f>B5*C5/1000000</f>
        <v/>
      </c>
      <c r="E5" s="5">
        <f>D5*01_Inputs!B33</f>
        <v/>
      </c>
      <c r="F5" s="4">
        <f>E5/01_Inputs!B7</f>
        <v/>
      </c>
    </row>
    <row r="6">
      <c r="A6" t="inlineStr">
        <is>
          <t>Reentry / other</t>
        </is>
      </c>
      <c r="B6" s="21">
        <f>01_Inputs!B46</f>
        <v/>
      </c>
      <c r="C6" s="20">
        <f>01_Inputs!B59</f>
        <v/>
      </c>
      <c r="D6" s="5">
        <f>B6*C6/1000000</f>
        <v/>
      </c>
      <c r="E6" s="5">
        <f>D6*01_Inputs!B33</f>
        <v/>
      </c>
      <c r="F6" s="4">
        <f>E6/01_Inputs!B7</f>
        <v/>
      </c>
    </row>
    <row r="7">
      <c r="A7" s="19" t="inlineStr">
        <is>
          <t>TOTAL RE</t>
        </is>
      </c>
      <c r="B7" s="15">
        <f>B4+B5+B6</f>
        <v/>
      </c>
      <c r="D7" s="11">
        <f>D4+D5+D6</f>
        <v/>
      </c>
      <c r="E7" s="11">
        <f>E4+E5+E6</f>
        <v/>
      </c>
      <c r="F7" s="6">
        <f>E7/01_Inputs!B7</f>
        <v/>
      </c>
    </row>
    <row r="9">
      <c r="A9" t="inlineStr">
        <is>
          <t>Several sale only</t>
        </is>
      </c>
      <c r="B9" s="21">
        <f>01_Inputs!B122</f>
        <v/>
      </c>
      <c r="C9" s="20">
        <f>01_Inputs!B55</f>
        <v/>
      </c>
      <c r="D9" s="5">
        <f>B9*C9/1000000</f>
        <v/>
      </c>
      <c r="E9" s="5">
        <f>D9*01_Inputs!B33</f>
        <v/>
      </c>
      <c r="F9" s="4">
        <f>E9/01_Inputs!B7</f>
        <v/>
      </c>
    </row>
    <row r="11">
      <c r="A11" s="3" t="inlineStr">
        <is>
          <t>TAX BUILD-UP</t>
        </is>
      </c>
    </row>
    <row r="12">
      <c r="A12" t="inlineStr">
        <is>
          <t>Federal statutory</t>
        </is>
      </c>
      <c r="B12" s="18">
        <f>01_Inputs!B27</f>
        <v/>
      </c>
    </row>
    <row r="13">
      <c r="A13" t="inlineStr">
        <is>
          <t>State/other add</t>
        </is>
      </c>
      <c r="B13" s="18">
        <f>01_Inputs!B28</f>
        <v/>
      </c>
    </row>
    <row r="14">
      <c r="A14" t="inlineStr">
        <is>
          <t>Tax on gain used</t>
        </is>
      </c>
      <c r="B14" s="18">
        <f>01_Inputs!B32</f>
        <v/>
      </c>
    </row>
    <row r="15">
      <c r="A15" t="inlineStr">
        <is>
          <t>Txn costs</t>
        </is>
      </c>
      <c r="B15" s="18">
        <f>01_Inputs!B31</f>
        <v/>
      </c>
    </row>
    <row r="16">
      <c r="A16" t="inlineStr">
        <is>
          <t>Net take</t>
        </is>
      </c>
      <c r="B16" s="18">
        <f>01_Inputs!B33</f>
        <v/>
      </c>
    </row>
    <row r="17">
      <c r="A17" s="2" t="inlineStr">
        <is>
          <t>Why not (1−21%)? Gain tax applies to (price − tax basis), not price. Low NBV → effective tax ≈ mid-20%s of gross + txn ≈ ~28% friction (CXW ~27–29%). Edit 01_Inputs!B32.</t>
        </is>
      </c>
    </row>
    <row r="19">
      <c r="A19" s="3" t="inlineStr">
        <is>
          <t>RESIDUAL EBITDA AFTER SALE</t>
        </is>
      </c>
    </row>
    <row r="20">
      <c r="A20" t="inlineStr">
        <is>
          <t>FY26 EBITDA</t>
        </is>
      </c>
      <c r="B20" s="5">
        <f>01_Inputs!B71</f>
        <v/>
      </c>
    </row>
    <row r="21">
      <c r="A21" t="inlineStr">
        <is>
          <t>Blend cut $/bed</t>
        </is>
      </c>
      <c r="B21" s="20">
        <f>01_Inputs!B66</f>
        <v/>
      </c>
    </row>
    <row r="22">
      <c r="A22" t="inlineStr">
        <is>
          <t>Beds sold (full ICE)</t>
        </is>
      </c>
      <c r="B22" s="21">
        <f>01_Inputs!B121</f>
        <v/>
      </c>
    </row>
    <row r="23">
      <c r="A23" t="inlineStr">
        <is>
          <t>EBITDA cut $M</t>
        </is>
      </c>
      <c r="B23" s="5">
        <f>B22*B21/1000000</f>
        <v/>
      </c>
    </row>
    <row r="24">
      <c r="A24" s="19" t="inlineStr">
        <is>
          <t>Residual EBITDA (ICE sale)</t>
        </is>
      </c>
      <c r="B24" s="11">
        <f>B20-B23</f>
        <v/>
      </c>
    </row>
    <row r="25">
      <c r="A25" t="inlineStr">
        <is>
          <t>Other owned RP beds approx</t>
        </is>
      </c>
      <c r="B25" s="21">
        <f>MAX(01_Inputs!B51-B22,0)</f>
        <v/>
      </c>
    </row>
    <row r="26">
      <c r="A26" t="inlineStr">
        <is>
          <t>Extra cut if MTM all RE (full gap on other)</t>
        </is>
      </c>
      <c r="B26" s="5">
        <f>B25*01_Inputs!B64/1000000</f>
        <v/>
      </c>
    </row>
    <row r="27">
      <c r="A27" s="19" t="inlineStr">
        <is>
          <t>Asset-light residual</t>
        </is>
      </c>
      <c r="B27" s="11">
        <f>B24-B26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50" customWidth="1" min="3" max="3"/>
  </cols>
  <sheetData>
    <row r="1">
      <c r="A1" s="1" t="inlineStr">
        <is>
          <t>SUM OF THE PARTS — pick ONE primary approach (avoid double-count)</t>
        </is>
      </c>
    </row>
    <row r="3">
      <c r="A3" s="3" t="inlineStr">
        <is>
          <t>APPROACH A — Segment multiples ops + cash − debt (NO separate RE NAV)</t>
        </is>
      </c>
    </row>
    <row r="4">
      <c r="A4" t="inlineStr">
        <is>
          <t>Ops EV (from 03_Segments)</t>
        </is>
      </c>
      <c r="B4" s="5">
        <f>03_Segments!D41</f>
        <v/>
      </c>
    </row>
    <row r="5">
      <c r="A5" t="inlineStr">
        <is>
          <t>+ Cash</t>
        </is>
      </c>
      <c r="B5" s="5">
        <f>01_Inputs!B16</f>
        <v/>
      </c>
    </row>
    <row r="6">
      <c r="A6" t="inlineStr">
        <is>
          <t>− Gross debt</t>
        </is>
      </c>
      <c r="B6" s="5">
        <f>-01_Inputs!B17</f>
        <v/>
      </c>
    </row>
    <row r="7">
      <c r="A7" t="inlineStr">
        <is>
          <t>Equity $M</t>
        </is>
      </c>
      <c r="B7" s="11">
        <f>B4+B5+B6</f>
        <v/>
      </c>
    </row>
    <row r="8">
      <c r="A8" t="inlineStr">
        <is>
          <t>$/sh</t>
        </is>
      </c>
      <c r="B8" s="6">
        <f>B7/01_Inputs!B7</f>
        <v/>
      </c>
    </row>
    <row r="10">
      <c r="A10" s="3" t="inlineStr">
        <is>
          <t>APPROACH B — Sell ICE RE + residual EBITDA multiple (keeps other owned in residual)</t>
        </is>
      </c>
    </row>
    <row r="11">
      <c r="A11" t="inlineStr">
        <is>
          <t>ICE RE net proceeds</t>
        </is>
      </c>
      <c r="B11" s="5">
        <f>06_RE_NAV!E4</f>
        <v/>
      </c>
    </row>
    <row r="12">
      <c r="A12" t="inlineStr">
        <is>
          <t>− Net debt</t>
        </is>
      </c>
      <c r="B12" s="5">
        <f>-01_Inputs!B18</f>
        <v/>
      </c>
    </row>
    <row r="13">
      <c r="A13" t="inlineStr">
        <is>
          <t>+ Cash already in net debt</t>
        </is>
      </c>
      <c r="C13" t="inlineStr">
        <is>
          <t>(net debt = gross−cash; don't add cash again)</t>
        </is>
      </c>
    </row>
    <row r="14">
      <c r="A14" t="inlineStr">
        <is>
          <t>Cash after debt repay</t>
        </is>
      </c>
      <c r="B14" s="5">
        <f>B11+B12</f>
        <v/>
      </c>
    </row>
    <row r="15">
      <c r="A15" t="inlineStr">
        <is>
          <t>Residual EBITDA</t>
        </is>
      </c>
      <c r="B15" s="5">
        <f>06_RE_NAV!B24</f>
        <v/>
      </c>
    </row>
    <row r="16">
      <c r="A16" t="inlineStr">
        <is>
          <t>× multiple</t>
        </is>
      </c>
      <c r="B16" s="5">
        <f>01_Inputs!B114</f>
        <v/>
      </c>
    </row>
    <row r="17">
      <c r="A17" t="inlineStr">
        <is>
          <t>Ops EV</t>
        </is>
      </c>
      <c r="B17" s="5">
        <f>B15*B16</f>
        <v/>
      </c>
    </row>
    <row r="18">
      <c r="A18" t="inlineStr">
        <is>
          <t>Equity $M</t>
        </is>
      </c>
      <c r="B18" s="11">
        <f>B14+B17</f>
        <v/>
      </c>
    </row>
    <row r="19">
      <c r="A19" t="inlineStr">
        <is>
          <t>$/sh</t>
        </is>
      </c>
      <c r="B19" s="6">
        <f>B18/01_Inputs!B7</f>
        <v/>
      </c>
    </row>
    <row r="21">
      <c r="A21" s="3" t="inlineStr">
        <is>
          <t>APPROACH C — MTM all RE + asset-light residual (full re-rate)</t>
        </is>
      </c>
    </row>
    <row r="22">
      <c r="A22" t="inlineStr">
        <is>
          <t>Total RE net</t>
        </is>
      </c>
      <c r="B22" s="5">
        <f>06_RE_NAV!E7</f>
        <v/>
      </c>
    </row>
    <row r="23">
      <c r="A23" t="inlineStr">
        <is>
          <t>− Net debt</t>
        </is>
      </c>
      <c r="B23" s="5">
        <f>-01_Inputs!B18</f>
        <v/>
      </c>
    </row>
    <row r="24">
      <c r="A24" t="inlineStr">
        <is>
          <t>Cash after debt</t>
        </is>
      </c>
      <c r="B24" s="5">
        <f>B22+B23</f>
        <v/>
      </c>
    </row>
    <row r="25">
      <c r="A25" t="inlineStr">
        <is>
          <t>AL residual EBITDA</t>
        </is>
      </c>
      <c r="B25" s="5">
        <f>06_RE_NAV!B27</f>
        <v/>
      </c>
    </row>
    <row r="26">
      <c r="A26" t="inlineStr">
        <is>
          <t>× multiple</t>
        </is>
      </c>
      <c r="B26" s="5">
        <f>01_Inputs!B115</f>
        <v/>
      </c>
    </row>
    <row r="27">
      <c r="A27" t="inlineStr">
        <is>
          <t>Ops EV</t>
        </is>
      </c>
      <c r="B27" s="5">
        <f>B25*B26</f>
        <v/>
      </c>
    </row>
    <row r="28">
      <c r="A28" t="inlineStr">
        <is>
          <t>Equity $M</t>
        </is>
      </c>
      <c r="B28" s="11">
        <f>B24+B27</f>
        <v/>
      </c>
    </row>
    <row r="29">
      <c r="A29" t="inlineStr">
        <is>
          <t>$/sh</t>
        </is>
      </c>
      <c r="B29" s="6">
        <f>B28/01_Inputs!B7</f>
        <v/>
      </c>
    </row>
    <row r="31">
      <c r="A31" s="3" t="inlineStr">
        <is>
          <t>APPROACH D — Several sale only + consolidated EBITDA multiple on unsold</t>
        </is>
      </c>
    </row>
    <row r="32">
      <c r="A32" t="inlineStr">
        <is>
          <t>Several net proceeds</t>
        </is>
      </c>
      <c r="B32" s="5">
        <f>06_RE_NAV!E9</f>
        <v/>
      </c>
    </row>
    <row r="33">
      <c r="A33" t="inlineStr">
        <is>
          <t>EBITDA after several cut</t>
        </is>
      </c>
      <c r="B33" s="5">
        <f>01_Inputs!B71-01_Inputs!B122*01_Inputs!B66/1000000</f>
        <v/>
      </c>
    </row>
    <row r="34">
      <c r="A34" t="inlineStr">
        <is>
          <t>Debt after applying several proceeds (max zero)</t>
        </is>
      </c>
      <c r="B34" s="5">
        <f>MAX(01_Inputs!B18-B32,0)</f>
        <v/>
      </c>
    </row>
    <row r="35">
      <c r="A35" t="inlineStr">
        <is>
          <t>Surplus cash if proceeds &gt; net debt</t>
        </is>
      </c>
      <c r="B35" s="5">
        <f>MAX(B32-01_Inputs!B18,0)</f>
        <v/>
      </c>
    </row>
    <row r="36">
      <c r="A36" t="inlineStr">
        <is>
          <t>Ops EV</t>
        </is>
      </c>
      <c r="B36" s="5">
        <f>B33*01_Inputs!B114</f>
        <v/>
      </c>
    </row>
    <row r="37">
      <c r="A37" t="inlineStr">
        <is>
          <t>Equity $M</t>
        </is>
      </c>
      <c r="B37" s="11">
        <f>B36-B34+B35</f>
        <v/>
      </c>
    </row>
    <row r="38">
      <c r="A38" t="inlineStr">
        <is>
          <t>$/sh</t>
        </is>
      </c>
      <c r="B38" s="6">
        <f>B37/01_Inputs!B7</f>
        <v/>
      </c>
    </row>
    <row r="40">
      <c r="A40" s="3" t="inlineStr">
        <is>
          <t>CURRENT MARKET</t>
        </is>
      </c>
    </row>
    <row r="41">
      <c r="A41" t="inlineStr">
        <is>
          <t>Price</t>
        </is>
      </c>
      <c r="B41" s="4">
        <f>01_Inputs!B6</f>
        <v/>
      </c>
    </row>
    <row r="42">
      <c r="A42" t="inlineStr">
        <is>
          <t>Mkt cap</t>
        </is>
      </c>
      <c r="B42" s="5">
        <f>01_Inputs!B11</f>
        <v/>
      </c>
    </row>
    <row r="43">
      <c r="A43" t="inlineStr">
        <is>
          <t>Upside/(downside) vs Approach B</t>
        </is>
      </c>
      <c r="B43" s="18">
        <f>B19/B41-1</f>
        <v/>
      </c>
    </row>
    <row r="44">
      <c r="A44" t="inlineStr">
        <is>
          <t>Upside/(downside) vs Approach A</t>
        </is>
      </c>
      <c r="B44" s="18">
        <f>B8/B41-1</f>
        <v/>
      </c>
    </row>
    <row r="46">
      <c r="A46" s="2" t="inlineStr">
        <is>
          <t>CASH EXPLICITLY IN BRIDGE: Approaches A uses +Cash −GrossDebt. B/C use NetDebt (=Gross−Cash) so cash is included once. Do not add cash on top of net debt.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5" customWidth="1" min="4" max="4"/>
  </cols>
  <sheetData>
    <row r="1">
      <c r="A1" s="1" t="inlineStr">
        <is>
          <t>CORECIVIC COMPS</t>
        </is>
      </c>
    </row>
    <row r="3">
      <c r="A3" s="7" t="inlineStr">
        <is>
          <t>Trading</t>
        </is>
      </c>
      <c r="B3" s="7" t="inlineStr">
        <is>
          <t>GEO</t>
        </is>
      </c>
      <c r="C3" s="7" t="inlineStr">
        <is>
          <t>CXW</t>
        </is>
      </c>
      <c r="D3" s="7" t="inlineStr">
        <is>
          <t>Formula/notes</t>
        </is>
      </c>
    </row>
    <row r="4">
      <c r="A4" t="inlineStr">
        <is>
          <t>Price</t>
        </is>
      </c>
      <c r="B4" s="4">
        <f>01_Inputs!B6</f>
        <v/>
      </c>
      <c r="C4" s="4">
        <f>01_Inputs!B9</f>
        <v/>
      </c>
    </row>
    <row r="5">
      <c r="A5" t="inlineStr">
        <is>
          <t>Mkt cap</t>
        </is>
      </c>
      <c r="B5" s="5">
        <f>01_Inputs!B11</f>
        <v/>
      </c>
      <c r="C5" s="5">
        <f>01_Inputs!B12</f>
        <v/>
      </c>
    </row>
    <row r="6">
      <c r="A6" t="inlineStr">
        <is>
          <t>Net debt / (cash)</t>
        </is>
      </c>
      <c r="B6" s="5">
        <f>01_Inputs!B18</f>
        <v/>
      </c>
      <c r="C6" s="9" t="n">
        <v>-260</v>
      </c>
    </row>
    <row r="7">
      <c r="A7" t="inlineStr">
        <is>
          <t>EV</t>
        </is>
      </c>
      <c r="B7" s="5">
        <f>B5+B6</f>
        <v/>
      </c>
      <c r="C7" s="5">
        <f>C5+C6</f>
        <v/>
      </c>
    </row>
    <row r="8">
      <c r="A8" t="inlineStr">
        <is>
          <t>FY26E EBITDA</t>
        </is>
      </c>
      <c r="B8" s="5">
        <f>01_Inputs!B71</f>
        <v/>
      </c>
      <c r="C8" s="9" t="n">
        <v>443</v>
      </c>
    </row>
    <row r="9">
      <c r="A9" t="inlineStr">
        <is>
          <t>EV/EBITDA</t>
        </is>
      </c>
      <c r="B9" s="5">
        <f>B7/B8</f>
        <v/>
      </c>
      <c r="C9" s="5">
        <f>C7/C8</f>
        <v/>
      </c>
    </row>
    <row r="10">
      <c r="A10" t="inlineStr">
        <is>
          <t>P/E on GEO guide</t>
        </is>
      </c>
      <c r="B10" s="5">
        <f>01_Inputs!B78</f>
        <v/>
      </c>
      <c r="C10" s="9" t="n">
        <v>14.9</v>
      </c>
    </row>
    <row r="12">
      <c r="A12" s="3" t="inlineStr">
        <is>
          <t>Transaction comps (editable)</t>
        </is>
      </c>
    </row>
    <row r="13">
      <c r="A13" s="7" t="inlineStr">
        <is>
          <t>Facility</t>
        </is>
      </c>
      <c r="B13" s="7" t="inlineStr">
        <is>
          <t>Beds</t>
        </is>
      </c>
      <c r="C13" s="7" t="inlineStr">
        <is>
          <t>Price $M</t>
        </is>
      </c>
      <c r="D13" s="7" t="inlineStr">
        <is>
          <t>$/bed</t>
        </is>
      </c>
    </row>
    <row r="14">
      <c r="A14" s="22" t="inlineStr">
        <is>
          <t>Otay Mesa</t>
        </is>
      </c>
      <c r="B14" s="14" t="n">
        <v>1994</v>
      </c>
      <c r="C14" s="9" t="n">
        <v>739.2</v>
      </c>
      <c r="D14" s="20">
        <f>C14*1000000/B14</f>
        <v/>
      </c>
    </row>
    <row r="15">
      <c r="A15" s="22" t="inlineStr">
        <is>
          <t>California City</t>
        </is>
      </c>
      <c r="B15" s="14" t="n">
        <v>2560</v>
      </c>
      <c r="C15" s="9" t="n">
        <v>732.6</v>
      </c>
      <c r="D15" s="20">
        <f>C15*1000000/B15</f>
        <v/>
      </c>
    </row>
    <row r="16">
      <c r="A16" s="22" t="inlineStr">
        <is>
          <t>Prairie</t>
        </is>
      </c>
      <c r="B16" s="14" t="n">
        <v>1600</v>
      </c>
      <c r="C16" s="9" t="n">
        <v>495.6</v>
      </c>
      <c r="D16" s="20">
        <f>C16*1000000/B16</f>
        <v/>
      </c>
    </row>
    <row r="17">
      <c r="A17" s="22" t="inlineStr">
        <is>
          <t>Midwest</t>
        </is>
      </c>
      <c r="B17" s="14" t="n">
        <v>1033</v>
      </c>
      <c r="C17" s="9" t="n">
        <v>238.4</v>
      </c>
      <c r="D17" s="20">
        <f>C17*1000000/B17</f>
        <v/>
      </c>
    </row>
    <row r="18">
      <c r="A18" t="inlineStr">
        <is>
          <t>TOTAL / AVG</t>
        </is>
      </c>
      <c r="B18" s="21">
        <f>SUM(B14:B17)</f>
        <v/>
      </c>
      <c r="C18" s="5">
        <f>SUM(C14:C17)</f>
        <v/>
      </c>
      <c r="D18" s="17">
        <f>C18*1000000/B18</f>
        <v/>
      </c>
    </row>
    <row r="19">
      <c r="A19" t="inlineStr">
        <is>
          <t>Link: set 01_Inputs ICE $/bed = this avg?</t>
        </is>
      </c>
      <c r="B19" s="20">
        <f>D18</f>
        <v/>
      </c>
    </row>
    <row r="20">
      <c r="D20" t="inlineStr">
        <is>
          <t>Copy into 01_Inputs!B55 if you want live link — or keep B55 as override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28" customWidth="1" min="4" max="4"/>
    <col width="40" customWidth="1" min="5" max="5"/>
  </cols>
  <sheetData>
    <row r="1">
      <c r="A1" s="1" t="inlineStr">
        <is>
          <t>SCENARIO DASHBOARD — outputs are formulas; probabilities are inputs</t>
        </is>
      </c>
    </row>
    <row r="3">
      <c r="A3" s="7" t="inlineStr">
        <is>
          <t>Scenario</t>
        </is>
      </c>
      <c r="B3" s="7" t="inlineStr">
        <is>
          <t>Prob</t>
        </is>
      </c>
      <c r="C3" s="7" t="inlineStr">
        <is>
          <t>Value $/sh</t>
        </is>
      </c>
      <c r="D3" s="7" t="inlineStr">
        <is>
          <t>Source</t>
        </is>
      </c>
      <c r="E3" s="7" t="inlineStr">
        <is>
          <t>Notes</t>
        </is>
      </c>
    </row>
    <row r="4">
      <c r="A4" t="inlineStr">
        <is>
          <t>A Segment multiples (no RE sale)</t>
        </is>
      </c>
      <c r="B4" s="12" t="n">
        <v>0.2</v>
      </c>
      <c r="C4" s="4">
        <f>07_SOTP!B8</f>
        <v/>
      </c>
      <c r="D4" t="inlineStr">
        <is>
          <t>07_SOTP Approach A</t>
        </is>
      </c>
    </row>
    <row r="5">
      <c r="A5" t="inlineStr">
        <is>
          <t>B Full ICE sale SOTP</t>
        </is>
      </c>
      <c r="B5" s="12" t="n">
        <v>0.15</v>
      </c>
      <c r="C5" s="4">
        <f>07_SOTP!B19</f>
        <v/>
      </c>
      <c r="D5" t="inlineStr">
        <is>
          <t>07_SOTP Approach B</t>
        </is>
      </c>
    </row>
    <row r="6">
      <c r="A6" t="inlineStr">
        <is>
          <t>C Full RE NAV re-rate</t>
        </is>
      </c>
      <c r="B6" s="12" t="n">
        <v>0.1</v>
      </c>
      <c r="C6" s="4">
        <f>07_SOTP!B29</f>
        <v/>
      </c>
      <c r="D6" t="inlineStr">
        <is>
          <t>07_SOTP Approach C</t>
        </is>
      </c>
    </row>
    <row r="7">
      <c r="A7" t="inlineStr">
        <is>
          <t>D Several sales only</t>
        </is>
      </c>
      <c r="B7" s="12" t="n">
        <v>0.35</v>
      </c>
      <c r="C7" s="4">
        <f>07_SOTP!B38</f>
        <v/>
      </c>
      <c r="D7" t="inlineStr">
        <is>
          <t>07_SOTP Approach D</t>
        </is>
      </c>
    </row>
    <row r="8">
      <c r="A8" t="inlineStr">
        <is>
          <t>E Bear political (EBITDA×bear mult − net debt)/sh</t>
        </is>
      </c>
      <c r="B8" s="12" t="n">
        <v>0.2</v>
      </c>
      <c r="C8" s="4">
        <f>(04_IS_Fwd!E6*01_Inputs!B116-01_Inputs!B18)/01_Inputs!B7</f>
        <v/>
      </c>
      <c r="D8" t="inlineStr">
        <is>
          <t>2029E EBITDA × bear multiple</t>
        </is>
      </c>
    </row>
    <row r="9">
      <c r="A9" t="inlineStr">
        <is>
          <t>Prob check (should be 100%)</t>
        </is>
      </c>
      <c r="B9" s="13">
        <f>SUM(B4:B8)</f>
        <v/>
      </c>
    </row>
    <row r="10">
      <c r="A10" s="19" t="inlineStr">
        <is>
          <t>Probability-weighted value</t>
        </is>
      </c>
      <c r="C10" s="6">
        <f>B4*C4+B5*C5+B6*C6+B7*C7+B8*C8</f>
        <v/>
      </c>
    </row>
    <row r="11">
      <c r="A11" t="inlineStr">
        <is>
          <t>vs market</t>
        </is>
      </c>
      <c r="C11" s="18">
        <f>C10/01_Inputs!B6-1</f>
        <v/>
      </c>
    </row>
    <row r="13">
      <c r="A13" s="3" t="inlineStr">
        <is>
          <t>PE COMPRESSION (no sale)</t>
        </is>
      </c>
    </row>
    <row r="14">
      <c r="A14" t="inlineStr">
        <is>
          <t>EPS FY26</t>
        </is>
      </c>
      <c r="B14" s="4">
        <f>04_IS_Fwd!B15</f>
        <v/>
      </c>
    </row>
    <row r="15">
      <c r="A15" t="inlineStr">
        <is>
          <t>Price @ 12x</t>
        </is>
      </c>
      <c r="B15" s="4">
        <f>B14*12</f>
        <v/>
      </c>
    </row>
    <row r="16">
      <c r="A16" t="inlineStr">
        <is>
          <t>Price @ 15x</t>
        </is>
      </c>
      <c r="B16" s="4">
        <f>B14*01_Inputs!B117</f>
        <v/>
      </c>
    </row>
    <row r="17">
      <c r="A17" t="inlineStr">
        <is>
          <t>Price @ 18x</t>
        </is>
      </c>
      <c r="B17" s="4">
        <f>B14*01_Inputs!B118</f>
        <v/>
      </c>
    </row>
    <row r="18">
      <c r="A18" t="inlineStr">
        <is>
          <t>Price @ spot P/E</t>
        </is>
      </c>
      <c r="B18" s="4">
        <f>B14*01_Inputs!B78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2026-08-11T22:29:31Z</dcterms:created>
  <dcterms:modified xsi:type="dcterms:W3CDTF">2026-08-11T22:30:35Z</dcterms:modified>
</cp:coreProperties>
</file>